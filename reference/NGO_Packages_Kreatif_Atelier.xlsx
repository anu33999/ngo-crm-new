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ages" sheetId="1" state="visible" r:id="rId3"/>
    <sheet name="Platinum" sheetId="2" state="visible" r:id="rId4"/>
    <sheet name="Gold" sheetId="3" state="visible" r:id="rId5"/>
    <sheet name="Silver" sheetId="4" state="visible" r:id="rId6"/>
    <sheet name="Add-ons" sheetId="5" state="visible" r:id="rId7"/>
    <sheet name="Quote builder" sheetId="6" state="visible" r:id="rId8"/>
    <sheet name="Econom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<sst xmlns="http://schemas.openxmlformats.org/spreadsheetml/2006/main" count="611" uniqueCount="404">
  <si>
    <t xml:space="preserve">NGO Monthly Packages — Aurelius / Kreatif Atelier</t>
  </si>
  <si>
    <t xml:space="preserve">Prices exclude GST. Third-party costs (ad spend, WhatsApp message fees, printing, travel, flight permissions, hosting, software licences) are funded by the NGO.</t>
  </si>
  <si>
    <t xml:space="preserve">PLATINUM</t>
  </si>
  <si>
    <t xml:space="preserve">GOLD</t>
  </si>
  <si>
    <t xml:space="preserve">SILVER</t>
  </si>
  <si>
    <t xml:space="preserve">Monthly price (₹)</t>
  </si>
  <si>
    <t xml:space="preserve">Best for</t>
  </si>
  <si>
    <t xml:space="preserve">Established NGO, 15–60 staff, funders to report to</t>
  </si>
  <si>
    <t xml:space="preserve">Growing NGO, 5–20 staff, building credibility</t>
  </si>
  <si>
    <t xml:space="preserve">Small NGO, under 5 staff, needs to be visible</t>
  </si>
  <si>
    <t xml:space="preserve">Primary objective served</t>
  </si>
  <si>
    <t xml:space="preserve">Donations, volunteers and CSR partnerships</t>
  </si>
  <si>
    <t xml:space="preserve">Awareness and credibility</t>
  </si>
  <si>
    <t xml:space="preserve">Presence and consistency</t>
  </si>
  <si>
    <t xml:space="preserve">Aurelius codes included</t>
  </si>
  <si>
    <t xml:space="preserve">DM-01, DM-04, DM-06, DM-07, DM-10, DM-15, DM-24, FM-04, FM-24, SEO-02, SEO-04, AN-03</t>
  </si>
  <si>
    <t xml:space="preserve">DM-01, DM-07, DM-24, FM-04, FM-24, SEO-02 (light), SEO-04, AN-03</t>
  </si>
  <si>
    <t xml:space="preserve">DM-01, FM-04, FM-24 (limited)</t>
  </si>
  <si>
    <t xml:space="preserve">Platforms managed</t>
  </si>
  <si>
    <t xml:space="preserve">4 — Instagram, Facebook, LinkedIn, YouTube Shorts</t>
  </si>
  <si>
    <t xml:space="preserve">3 — Instagram, Facebook, LinkedIn</t>
  </si>
  <si>
    <t xml:space="preserve">2 — Instagram, Facebook</t>
  </si>
  <si>
    <t xml:space="preserve">Social posts per month</t>
  </si>
  <si>
    <t xml:space="preserve">Reels / short videos per month</t>
  </si>
  <si>
    <t xml:space="preserve">6, up to 60s</t>
  </si>
  <si>
    <t xml:space="preserve">4, up to 45s</t>
  </si>
  <si>
    <t xml:space="preserve">2, up to 30s</t>
  </si>
  <si>
    <t xml:space="preserve">Content calendar</t>
  </si>
  <si>
    <t xml:space="preserve">Yes, dated, by the 25th</t>
  </si>
  <si>
    <t xml:space="preserve">Yes, simple list, by the 25th</t>
  </si>
  <si>
    <t xml:space="preserve">Captions, hashtags, scheduling</t>
  </si>
  <si>
    <t xml:space="preserve">Included, platform-adapted</t>
  </si>
  <si>
    <t xml:space="preserve">Included, cross-posted</t>
  </si>
  <si>
    <t xml:space="preserve">Impact story (DM-24)</t>
  </si>
  <si>
    <t xml:space="preserve">1 per month, 700–900 words</t>
  </si>
  <si>
    <t xml:space="preserve">1 per month, 500–700 words</t>
  </si>
  <si>
    <t xml:space="preserve">Not included</t>
  </si>
  <si>
    <t xml:space="preserve">Email newsletter (DM-07)</t>
  </si>
  <si>
    <t xml:space="preserve">1 per month</t>
  </si>
  <si>
    <t xml:space="preserve">WhatsApp broadcast (DM-10)</t>
  </si>
  <si>
    <t xml:space="preserve">Add-on</t>
  </si>
  <si>
    <t xml:space="preserve">Appeal asset set</t>
  </si>
  <si>
    <t xml:space="preserve">1 per quarter</t>
  </si>
  <si>
    <t xml:space="preserve">Full campaign kit</t>
  </si>
  <si>
    <t xml:space="preserve">On-page SEO (SEO-02)</t>
  </si>
  <si>
    <t xml:space="preserve">4 pages per month</t>
  </si>
  <si>
    <t xml:space="preserve">2 pages per month</t>
  </si>
  <si>
    <t xml:space="preserve">Google Business Profile (SEO-04)</t>
  </si>
  <si>
    <t xml:space="preserve">Managed — 2 posts, reviews, Q&amp;A</t>
  </si>
  <si>
    <t xml:space="preserve">Light — 1 post, reviews</t>
  </si>
  <si>
    <t xml:space="preserve">Donor lifecycle (DM-15)</t>
  </si>
  <si>
    <t xml:space="preserve">Maintained</t>
  </si>
  <si>
    <t xml:space="preserve">Live dashboard (AN-03)</t>
  </si>
  <si>
    <t xml:space="preserve">Yes, continuous</t>
  </si>
  <si>
    <t xml:space="preserve">Yes, shared access</t>
  </si>
  <si>
    <t xml:space="preserve">Monthly report</t>
  </si>
  <si>
    <t xml:space="preserve">4–5 pages, vs targets and vs last month</t>
  </si>
  <si>
    <t xml:space="preserve">2–3 pages, vs last month</t>
  </si>
  <si>
    <t xml:space="preserve">1 page, activity summary</t>
  </si>
  <si>
    <t xml:space="preserve">Meetings</t>
  </si>
  <si>
    <t xml:space="preserve">Monthly 45 min + mid-month 30 min + quarterly 90 min</t>
  </si>
  <si>
    <t xml:space="preserve">Monthly 45 min</t>
  </si>
  <si>
    <t xml:space="preserve">Monthly 30 min</t>
  </si>
  <si>
    <t xml:space="preserve">Revision rounds</t>
  </si>
  <si>
    <t xml:space="preserve">2 per batch</t>
  </si>
  <si>
    <t xml:space="preserve">1 per batch</t>
  </si>
  <si>
    <t xml:space="preserve">1 per batch, batch-level only</t>
  </si>
  <si>
    <t xml:space="preserve">Agency response time</t>
  </si>
  <si>
    <t xml:space="preserve">1 business day</t>
  </si>
  <si>
    <t xml:space="preserve">2 business days</t>
  </si>
  <si>
    <t xml:space="preserve">NGO asset deadline</t>
  </si>
  <si>
    <t xml:space="preserve">18th of the prior month</t>
  </si>
  <si>
    <t xml:space="preserve">Estimated delivery hours per month</t>
  </si>
  <si>
    <t xml:space="preserve">Posts beyond the tier count are an add-on — see the Add-ons sheet. Figures supplied by the agency, October 2026; hours are estimates, not verified costs.</t>
  </si>
  <si>
    <t xml:space="preserve">PLATINUM — ₹40,000 / month</t>
  </si>
  <si>
    <t xml:space="preserve">Estimated 38.25 delivery hours per month.  Roles: AL = account lead, CD = content designer / editor, NGO-A = the NGO's single named approver.</t>
  </si>
  <si>
    <t xml:space="preserve">Deliverable</t>
  </si>
  <si>
    <t xml:space="preserve">Qty / month</t>
  </si>
  <si>
    <t xml:space="preserve">Format and scope</t>
  </si>
  <si>
    <t xml:space="preserve">NGO supplies</t>
  </si>
  <si>
    <t xml:space="preserve">Produce → approve → publish</t>
  </si>
  <si>
    <t xml:space="preserve">Output measure</t>
  </si>
  <si>
    <t xml:space="preserve">Excluded from the deliverable</t>
  </si>
  <si>
    <t xml:space="preserve">Content calendar (DM-01)</t>
  </si>
  <si>
    <t xml:space="preserve">1</t>
  </si>
  <si>
    <t xml:space="preserve">Dated grid of every post, reel, email and campaign for the coming month, one approval</t>
  </si>
  <si>
    <t xml:space="preserve">Programme dates, events, festivals, funder milestones</t>
  </si>
  <si>
    <t xml:space="preserve">AL → NGO-A</t>
  </si>
  <si>
    <t xml:space="preserve">Delivered by the 25th</t>
  </si>
  <si>
    <t xml:space="preserve">Mid-month rewrites after approval</t>
  </si>
  <si>
    <t xml:space="preserve">Social posts (DM-01)</t>
  </si>
  <si>
    <t xml:space="preserve">16</t>
  </si>
  <si>
    <t xml:space="preserve">Static and carousel from the locked BR-17 template kit, sized per platform</t>
  </si>
  <si>
    <t xml:space="preserve">Photos, programme facts, consent status</t>
  </si>
  <si>
    <t xml:space="preserve">CD → NGO-A → CD</t>
  </si>
  <si>
    <t xml:space="preserve">Published count vs planned</t>
  </si>
  <si>
    <t xml:space="preserve">Bespoke illustration, new template formats, per-post redesign, posts beyond 16</t>
  </si>
  <si>
    <t xml:space="preserve">Reels / short videos (FM-04, FM-24)</t>
  </si>
  <si>
    <t xml:space="preserve">6</t>
  </si>
  <si>
    <t xml:space="preserve">Up to 60 seconds, edited from NGO footage; captions, licensed music, light motion</t>
  </si>
  <si>
    <t xml:space="preserve">Raw footage or photo sets</t>
  </si>
  <si>
    <t xml:space="preserve">Published count; views, completion</t>
  </si>
  <si>
    <t xml:space="preserve">Filming, voice-over artists, animation beyond light motion</t>
  </si>
  <si>
    <t xml:space="preserve">Short-form video strategy (DM-06)</t>
  </si>
  <si>
    <t xml:space="preserve">Ongoing</t>
  </si>
  <si>
    <t xml:space="preserve">Hooks, formats and posting cadence chosen deliberately rather than per post</t>
  </si>
  <si>
    <t xml:space="preserve">Programme context</t>
  </si>
  <si>
    <t xml:space="preserve">AL</t>
  </si>
  <si>
    <t xml:space="preserve">Format performance review</t>
  </si>
  <si>
    <t xml:space="preserve">Production beyond the 6 reels</t>
  </si>
  <si>
    <t xml:space="preserve">4</t>
  </si>
  <si>
    <t xml:space="preserve">Instagram, Facebook, LinkedIn, YouTube Shorts — adapted per platform, not blind cross-posting</t>
  </si>
  <si>
    <t xml:space="preserve">Admin access via Business Suite roles</t>
  </si>
  <si>
    <t xml:space="preserve">CD</t>
  </si>
  <si>
    <t xml:space="preserve">Posting consistency per platform</t>
  </si>
  <si>
    <t xml:space="preserve">Any fifth platform</t>
  </si>
  <si>
    <t xml:space="preserve">700–900 words for the website, atomised into 2 posts and the newsletter</t>
  </si>
  <si>
    <t xml:space="preserve">Programme data, quotes, documented consent</t>
  </si>
  <si>
    <t xml:space="preserve">CD → NGO-A → CMS</t>
  </si>
  <si>
    <t xml:space="preserve">Published; sessions, time on page</t>
  </si>
  <si>
    <t xml:space="preserve">Fieldwork, interviews conducted by the agency</t>
  </si>
  <si>
    <t xml:space="preserve">Supporter newsletter (DM-07)</t>
  </si>
  <si>
    <t xml:space="preserve">Templated HTML email, built once and refilled monthly</t>
  </si>
  <si>
    <t xml:space="preserve">Contact list, consent basis, sending platform</t>
  </si>
  <si>
    <t xml:space="preserve">CD → NGO-A → AL sends</t>
  </si>
  <si>
    <t xml:space="preserve">Delivered; opens and clicks</t>
  </si>
  <si>
    <t xml:space="preserve">List building, platform fees, re-permissioning</t>
  </si>
  <si>
    <t xml:space="preserve">One approved broadcast to opted-in supporters or volunteers</t>
  </si>
  <si>
    <t xml:space="preserve">Opted-in list, Business account</t>
  </si>
  <si>
    <t xml:space="preserve">AL → NGO-A → AL</t>
  </si>
  <si>
    <t xml:space="preserve">Delivered; read and reply rate</t>
  </si>
  <si>
    <t xml:space="preserve">Conversation handling, replies, message fees</t>
  </si>
  <si>
    <t xml:space="preserve">LinkedIn / CSR visibility (DM-04)</t>
  </si>
  <si>
    <t xml:space="preserve">4 of the 16 posts</t>
  </si>
  <si>
    <t xml:space="preserve">Posts angled at CSR and institutional audiences</t>
  </si>
  <si>
    <t xml:space="preserve">Partnership news, compliance credentials</t>
  </si>
  <si>
    <t xml:space="preserve">Decision-maker reach; page views</t>
  </si>
  <si>
    <t xml:space="preserve">Outbound messaging to CSR contacts</t>
  </si>
  <si>
    <t xml:space="preserve">3 creatives plus copy for one donation, volunteer or event ask</t>
  </si>
  <si>
    <t xml:space="preserve">The ask, the target, the landing URL</t>
  </si>
  <si>
    <t xml:space="preserve">Click-through to the tracked page</t>
  </si>
  <si>
    <t xml:space="preserve">Donation page build, payment setup, ad spend</t>
  </si>
  <si>
    <t xml:space="preserve">Landing-page copy, 6 creatives, 2 emails, UTM plan, post-campaign readout</t>
  </si>
  <si>
    <t xml:space="preserve">Campaign goal, dates, page access</t>
  </si>
  <si>
    <t xml:space="preserve">AL + CD → NGO-A → AL</t>
  </si>
  <si>
    <t xml:space="preserve">Tracked conversions on the campaign journey</t>
  </si>
  <si>
    <t xml:space="preserve">Page build, ad management, media spend</t>
  </si>
  <si>
    <t xml:space="preserve">4 pages</t>
  </si>
  <si>
    <t xml:space="preserve">Titles, meta descriptions, headings, internal links, call-to-action copy</t>
  </si>
  <si>
    <t xml:space="preserve">CMS access or a publishing contact</t>
  </si>
  <si>
    <t xml:space="preserve">Impressions and clicks</t>
  </si>
  <si>
    <t xml:space="preserve">Technical SEO, page speed, migrations</t>
  </si>
  <si>
    <t xml:space="preserve">2 profile posts, photo refresh, Q&amp;A and review responses</t>
  </si>
  <si>
    <t xml:space="preserve">Hours, address, photos</t>
  </si>
  <si>
    <t xml:space="preserve">Profile views, calls, direction requests</t>
  </si>
  <si>
    <t xml:space="preserve">Review removal, duplicate-listing recovery</t>
  </si>
  <si>
    <t xml:space="preserve">Donor lifecycle upkeep (DM-15)</t>
  </si>
  <si>
    <t xml:space="preserve">Upkeep of the thank-you, receipt and re-ask sequence built at setup</t>
  </si>
  <si>
    <t xml:space="preserve">Donor platform access</t>
  </si>
  <si>
    <t xml:space="preserve">Sequence health; repeat-gift rate</t>
  </si>
  <si>
    <t xml:space="preserve">The initial build, donor data entry, receipting compliance</t>
  </si>
  <si>
    <t xml:space="preserve">Continuous</t>
  </si>
  <si>
    <t xml:space="preserve">Looker Studio dashboard on client-owned data sources</t>
  </si>
  <si>
    <t xml:space="preserve">Analytics and platform access</t>
  </si>
  <si>
    <t xml:space="preserve">Uptime; data freshness</t>
  </si>
  <si>
    <t xml:space="preserve">New data sources, custom modelling</t>
  </si>
  <si>
    <t xml:space="preserve">4–5 pages: deliverables vs plan, KPIs vs last month and vs target, 3–5 actions</t>
  </si>
  <si>
    <t xml:space="preserve">Offline donation and volunteer numbers</t>
  </si>
  <si>
    <t xml:space="preserve">AL → QC → NGO-A</t>
  </si>
  <si>
    <t xml:space="preserve">Delivered by the 7th</t>
  </si>
  <si>
    <t xml:space="preserve">Board presentations, custom analysis</t>
  </si>
  <si>
    <t xml:space="preserve">2 + quarterly</t>
  </si>
  <si>
    <t xml:space="preserve">45-min monthly review, 30-min mid-month check-in, 90-min quarterly strategy</t>
  </si>
  <si>
    <t xml:space="preserve">Attendance by a decision-maker</t>
  </si>
  <si>
    <t xml:space="preserve">Held on schedule</t>
  </si>
  <si>
    <t xml:space="preserve">Ad-hoc calls, NGO internal or board meetings</t>
  </si>
  <si>
    <t xml:space="preserve">Anything beyond these quantities is quoted from the Add-ons sheet. Scope agreed with the agency, October 2026.</t>
  </si>
  <si>
    <t xml:space="preserve">GOLD — ₹25,000 / month</t>
  </si>
  <si>
    <t xml:space="preserve">Estimated 22.8 delivery hours per month.  Roles: AL = account lead, CD = content designer / editor, NGO-A = the NGO's single named approver.</t>
  </si>
  <si>
    <t xml:space="preserve">Dated grid of posts, reels and the monthly email, one approval</t>
  </si>
  <si>
    <t xml:space="preserve">Programme dates, events, festivals</t>
  </si>
  <si>
    <t xml:space="preserve">8</t>
  </si>
  <si>
    <t xml:space="preserve">Static and carousel from the template kit, adapted per platform</t>
  </si>
  <si>
    <t xml:space="preserve">Bespoke illustration, new formats, posts beyond 8</t>
  </si>
  <si>
    <t xml:space="preserve">Up to 45 seconds, edited from NGO-supplied footage, captioned</t>
  </si>
  <si>
    <t xml:space="preserve">Published count; views</t>
  </si>
  <si>
    <t xml:space="preserve">Filming, voice-over, animation</t>
  </si>
  <si>
    <t xml:space="preserve">3</t>
  </si>
  <si>
    <t xml:space="preserve">Instagram, Facebook, LinkedIn</t>
  </si>
  <si>
    <t xml:space="preserve">Posting consistency</t>
  </si>
  <si>
    <t xml:space="preserve">Any fourth platform</t>
  </si>
  <si>
    <t xml:space="preserve">500–700 words for the website, atomised into 1 post and the newsletter</t>
  </si>
  <si>
    <t xml:space="preserve">Programme data, quotes, consent</t>
  </si>
  <si>
    <t xml:space="preserve">Published; sessions</t>
  </si>
  <si>
    <t xml:space="preserve">Fieldwork, interviews by the agency</t>
  </si>
  <si>
    <t xml:space="preserve">Templated email, refilled monthly, single send</t>
  </si>
  <si>
    <t xml:space="preserve">Contact list, consent basis, platform</t>
  </si>
  <si>
    <t xml:space="preserve">List building, platform fees</t>
  </si>
  <si>
    <t xml:space="preserve">The ask and the landing URL</t>
  </si>
  <si>
    <t xml:space="preserve">Donation page build, ad spend</t>
  </si>
  <si>
    <t xml:space="preserve">2 pages</t>
  </si>
  <si>
    <t xml:space="preserve">Titles, meta descriptions, headings, call-to-action copy</t>
  </si>
  <si>
    <t xml:space="preserve">CMS access or publishing contact</t>
  </si>
  <si>
    <t xml:space="preserve">Technical SEO, speed, migrations</t>
  </si>
  <si>
    <t xml:space="preserve">Ongoing, light</t>
  </si>
  <si>
    <t xml:space="preserve">1 profile post, photo refresh, review responses</t>
  </si>
  <si>
    <t xml:space="preserve">Profile views and actions</t>
  </si>
  <si>
    <t xml:space="preserve">Review removal, dispute resolution</t>
  </si>
  <si>
    <t xml:space="preserve">Dashboard access (AN-03)</t>
  </si>
  <si>
    <t xml:space="preserve">Shared Looker Studio dashboard on client-owned sources</t>
  </si>
  <si>
    <t xml:space="preserve">Analytics access</t>
  </si>
  <si>
    <t xml:space="preserve">Custom modelling, offline data entry</t>
  </si>
  <si>
    <t xml:space="preserve">2–3 pages: deliverables vs plan, core KPIs vs last month, 3 actions</t>
  </si>
  <si>
    <t xml:space="preserve">45-minute monthly review call</t>
  </si>
  <si>
    <t xml:space="preserve">Ad-hoc calls, mid-month check-in</t>
  </si>
  <si>
    <t xml:space="preserve">SILVER — ₹15,000 / month</t>
  </si>
  <si>
    <t xml:space="preserve">Estimated 9.45 delivery hours per month.  Roles: AL = account lead, CD = content designer / editor, NGO-A = the NGO's single named approver.</t>
  </si>
  <si>
    <t xml:space="preserve">Simple dated list of the month's posts, one approval</t>
  </si>
  <si>
    <t xml:space="preserve">Programme dates and events</t>
  </si>
  <si>
    <t xml:space="preserve">Static and carousel from the template kit; one creative set cross-posted to both platforms</t>
  </si>
  <si>
    <t xml:space="preserve">Photos and programme facts, consent status</t>
  </si>
  <si>
    <t xml:space="preserve">Platform-specific variants, posts beyond 4</t>
  </si>
  <si>
    <t xml:space="preserve">2</t>
  </si>
  <si>
    <t xml:space="preserve">Up to 30 seconds, simple edit of NGO-supplied footage, captioned</t>
  </si>
  <si>
    <t xml:space="preserve">Filming, motion graphics, music beyond the library</t>
  </si>
  <si>
    <t xml:space="preserve">Instagram and Facebook</t>
  </si>
  <si>
    <t xml:space="preserve">Any third platform</t>
  </si>
  <si>
    <t xml:space="preserve">Captions and hashtags</t>
  </si>
  <si>
    <t xml:space="preserve">All posts</t>
  </si>
  <si>
    <t xml:space="preserve">Written from the agreed caption framework; reusable hashtag sets</t>
  </si>
  <si>
    <t xml:space="preserve">Approved terminology and names</t>
  </si>
  <si>
    <t xml:space="preserve">CD → NGO-A</t>
  </si>
  <si>
    <t xml:space="preserve">Part of batch approval</t>
  </si>
  <si>
    <t xml:space="preserve">Per-caption rewriting after sign-off</t>
  </si>
  <si>
    <t xml:space="preserve">Scheduling and publishing</t>
  </si>
  <si>
    <t xml:space="preserve">Queued in the scheduling tool, published on the calendar dates</t>
  </si>
  <si>
    <t xml:space="preserve">Timely batch approval</t>
  </si>
  <si>
    <t xml:space="preserve">On-time publishing rate</t>
  </si>
  <si>
    <t xml:space="preserve">Mid-month reschedules</t>
  </si>
  <si>
    <t xml:space="preserve">1 page: what was published, reach, engagement rate, follower change, 2 observations</t>
  </si>
  <si>
    <t xml:space="preserve">—</t>
  </si>
  <si>
    <t xml:space="preserve">KPI targets, SEO or website data, custom analysis</t>
  </si>
  <si>
    <t xml:space="preserve">30-minute monthly call</t>
  </si>
  <si>
    <t xml:space="preserve">Attendance</t>
  </si>
  <si>
    <t xml:space="preserve">Ad-hoc calls, mid-month contact</t>
  </si>
  <si>
    <t xml:space="preserve">Add-on, setup and project menu — list prices</t>
  </si>
  <si>
    <t xml:space="preserve">List prices exclude GST. Discount by removing scope, never by cutting the rate. Unit prices are shown in blue because they are the inputs the Quote builder reads.</t>
  </si>
  <si>
    <t xml:space="preserve">Category</t>
  </si>
  <si>
    <t xml:space="preserve">Add-on / item</t>
  </si>
  <si>
    <t xml:space="preserve">Aurelius code</t>
  </si>
  <si>
    <t xml:space="preserve">Unit price (₹)</t>
  </si>
  <si>
    <t xml:space="preserve">Basis and notes</t>
  </si>
  <si>
    <t xml:space="preserve">Recurring</t>
  </si>
  <si>
    <t xml:space="preserve">Additional 4 social posts</t>
  </si>
  <si>
    <t xml:space="preserve">DM-01</t>
  </si>
  <si>
    <t xml:space="preserve">Per month, on top of the tier count</t>
  </si>
  <si>
    <t xml:space="preserve">Additional 2 reels or short videos</t>
  </si>
  <si>
    <t xml:space="preserve">FM-04, FM-24</t>
  </si>
  <si>
    <t xml:space="preserve">Per month</t>
  </si>
  <si>
    <t xml:space="preserve">Additional platform managed</t>
  </si>
  <si>
    <t xml:space="preserve">Per month, per platform</t>
  </si>
  <si>
    <t xml:space="preserve">Short-form video growth strategy (added to Gold)</t>
  </si>
  <si>
    <t xml:space="preserve">DM-06</t>
  </si>
  <si>
    <t xml:space="preserve">WhatsApp broadcasts (added to Gold)</t>
  </si>
  <si>
    <t xml:space="preserve">DM-10</t>
  </si>
  <si>
    <t xml:space="preserve">Per month, plus platform message fees funded by the NGO</t>
  </si>
  <si>
    <t xml:space="preserve">Extra email campaign beyond the monthly newsletter</t>
  </si>
  <si>
    <t xml:space="preserve">DM-07</t>
  </si>
  <si>
    <t xml:space="preserve">Each</t>
  </si>
  <si>
    <t xml:space="preserve">Marketing automation upkeep</t>
  </si>
  <si>
    <t xml:space="preserve">DM-08</t>
  </si>
  <si>
    <t xml:space="preserve">Per month, after the build</t>
  </si>
  <si>
    <t xml:space="preserve">AI content system upkeep</t>
  </si>
  <si>
    <t xml:space="preserve">TP-12</t>
  </si>
  <si>
    <t xml:space="preserve">Local volunteer and donor lead generation</t>
  </si>
  <si>
    <t xml:space="preserve">LG-14</t>
  </si>
  <si>
    <t xml:space="preserve">Google Ad Grant management</t>
  </si>
  <si>
    <t xml:space="preserve">AD-01</t>
  </si>
  <si>
    <t xml:space="preserve">Per month. Verify grant eligibility and policy compliance before selling</t>
  </si>
  <si>
    <t xml:space="preserve">Meta Ads management</t>
  </si>
  <si>
    <t xml:space="preserve">AD-03</t>
  </si>
  <si>
    <t xml:space="preserve">Per month, or 18% of spend if higher. Media spend funded by the NGO</t>
  </si>
  <si>
    <t xml:space="preserve">Fractional CMO and growth advisory, 8 hours</t>
  </si>
  <si>
    <t xml:space="preserve">AV-06</t>
  </si>
  <si>
    <t xml:space="preserve">Additional revision round</t>
  </si>
  <si>
    <t xml:space="preserve">Additional strategy meeting</t>
  </si>
  <si>
    <t xml:space="preserve">Setup</t>
  </si>
  <si>
    <t xml:space="preserve">Social media design system (required before Platinum)</t>
  </si>
  <si>
    <t xml:space="preserve">BR-17</t>
  </si>
  <si>
    <t xml:space="preserve">One-time</t>
  </si>
  <si>
    <t xml:space="preserve">Logo design</t>
  </si>
  <si>
    <t xml:space="preserve">BR-03</t>
  </si>
  <si>
    <t xml:space="preserve">Brand story and message house</t>
  </si>
  <si>
    <t xml:space="preserve">BR-11</t>
  </si>
  <si>
    <t xml:space="preserve">Analytics and conversion tracking setup</t>
  </si>
  <si>
    <t xml:space="preserve">AN-01, AN-02</t>
  </si>
  <si>
    <t xml:space="preserve">Live dashboard build</t>
  </si>
  <si>
    <t xml:space="preserve">AN-03</t>
  </si>
  <si>
    <t xml:space="preserve">SEO audit and strategy</t>
  </si>
  <si>
    <t xml:space="preserve">SEO-01</t>
  </si>
  <si>
    <t xml:space="preserve">Marketing automation build</t>
  </si>
  <si>
    <t xml:space="preserve">Donor thank-you and re-ask sequence</t>
  </si>
  <si>
    <t xml:space="preserve">DM-15</t>
  </si>
  <si>
    <t xml:space="preserve">AI content system setup</t>
  </si>
  <si>
    <t xml:space="preserve">Google Ad Grant eligibility check and account setup</t>
  </si>
  <si>
    <t xml:space="preserve">Lead magnet, per asset</t>
  </si>
  <si>
    <t xml:space="preserve">LG-08</t>
  </si>
  <si>
    <t xml:space="preserve">Per asset</t>
  </si>
  <si>
    <t xml:space="preserve">Marketing technology consulting</t>
  </si>
  <si>
    <t xml:space="preserve">AV-03</t>
  </si>
  <si>
    <t xml:space="preserve">Per engagement</t>
  </si>
  <si>
    <t xml:space="preserve">Staff social media training, half day</t>
  </si>
  <si>
    <t xml:space="preserve">AV-04</t>
  </si>
  <si>
    <t xml:space="preserve">Per session</t>
  </si>
  <si>
    <t xml:space="preserve">Project</t>
  </si>
  <si>
    <t xml:space="preserve">Donate or volunteer page rebuild</t>
  </si>
  <si>
    <t xml:space="preserve">LG-06</t>
  </si>
  <si>
    <t xml:space="preserve">Per project</t>
  </si>
  <si>
    <t xml:space="preserve">UI/UX design, up to 8 screens</t>
  </si>
  <si>
    <t xml:space="preserve">TP-01</t>
  </si>
  <si>
    <t xml:space="preserve">Website build, up to 8 pages</t>
  </si>
  <si>
    <t xml:space="preserve">TP-02</t>
  </si>
  <si>
    <t xml:space="preserve">Donation funnel engineering</t>
  </si>
  <si>
    <t xml:space="preserve">TP-08</t>
  </si>
  <si>
    <t xml:space="preserve">AI chatbot or assistant</t>
  </si>
  <si>
    <t xml:space="preserve">TP-06</t>
  </si>
  <si>
    <t xml:space="preserve">Per project, plus hosting</t>
  </si>
  <si>
    <t xml:space="preserve">AI automation and agents</t>
  </si>
  <si>
    <t xml:space="preserve">TP-05</t>
  </si>
  <si>
    <t xml:space="preserve">Mobile app development</t>
  </si>
  <si>
    <t xml:space="preserve">TP-03</t>
  </si>
  <si>
    <t xml:space="preserve">From. Challenge the need before quoting</t>
  </si>
  <si>
    <t xml:space="preserve">Testimonial or case-study film</t>
  </si>
  <si>
    <t xml:space="preserve">FM-15</t>
  </si>
  <si>
    <t xml:space="preserve">Per film</t>
  </si>
  <si>
    <t xml:space="preserve">Explainer or motion-graphics video, up to 60s</t>
  </si>
  <si>
    <t xml:space="preserve">FM-16</t>
  </si>
  <si>
    <t xml:space="preserve">Per video</t>
  </si>
  <si>
    <t xml:space="preserve">Drone and aerial cinematography</t>
  </si>
  <si>
    <t xml:space="preserve">FM-13</t>
  </si>
  <si>
    <t xml:space="preserve">Per day. Airspace and site permissions obtained by the NGO</t>
  </si>
  <si>
    <t xml:space="preserve">Event coverage</t>
  </si>
  <si>
    <t xml:space="preserve">FM-12</t>
  </si>
  <si>
    <t xml:space="preserve">Per day, plus travel</t>
  </si>
  <si>
    <t xml:space="preserve">Annual impact report design</t>
  </si>
  <si>
    <t xml:space="preserve">BR-23</t>
  </si>
  <si>
    <t xml:space="preserve">Per report</t>
  </si>
  <si>
    <t xml:space="preserve">Press release written and distributed</t>
  </si>
  <si>
    <t xml:space="preserve">PR-02</t>
  </si>
  <si>
    <t xml:space="preserve">Per release, plus distribution costs</t>
  </si>
  <si>
    <t xml:space="preserve">Edit a blue price here and the Quote builder updates. List prices set by the agency, October 2026.</t>
  </si>
  <si>
    <t xml:space="preserve">Quote builder</t>
  </si>
  <si>
    <t xml:space="preserve">EDIT ONLY THE YELLOW CELLS: the tier in B4, the months in B6, and a quantity in column E below. Every other cell is a formula.</t>
  </si>
  <si>
    <t xml:space="preserve">Tier (type Platinum, Gold or Silver)</t>
  </si>
  <si>
    <t xml:space="preserve">Gold</t>
  </si>
  <si>
    <t xml:space="preserve">Tier name must match a column heading on the Packages sheet exactly.</t>
  </si>
  <si>
    <t xml:space="preserve">Monthly retainer (₹)</t>
  </si>
  <si>
    <t xml:space="preserve">Months contracted</t>
  </si>
  <si>
    <t xml:space="preserve">Code</t>
  </si>
  <si>
    <t xml:space="preserve">Qty</t>
  </si>
  <si>
    <t xml:space="preserve">Line total (₹)</t>
  </si>
  <si>
    <t xml:space="preserve">Recurring add-ons (₹ / month)</t>
  </si>
  <si>
    <t xml:space="preserve">One-time setup (₹)</t>
  </si>
  <si>
    <t xml:space="preserve">Projects (₹)</t>
  </si>
  <si>
    <t xml:space="preserve">Month 1 invoice — retainer + recurring + one-time (₹)</t>
  </si>
  <si>
    <t xml:space="preserve">Ongoing monthly invoice from month 2 (₹)</t>
  </si>
  <si>
    <t xml:space="preserve">Total contract value over the months in B6 (₹)</t>
  </si>
  <si>
    <t xml:space="preserve">All figures exclude GST. Media spend, WhatsApp message fees, printing, venue, travel, flight permissions, hosting and software licences are additional and funded by the NGO.</t>
  </si>
  <si>
    <t xml:space="preserve">Delivery economics — internal only</t>
  </si>
  <si>
    <t xml:space="preserve">INTERNAL. Never share with a client. Hours are agency estimates built from assumed task durations, not verified costs — replace them with time-tracking data after two months of live delivery.</t>
  </si>
  <si>
    <t xml:space="preserve">Assumptions — edit the yellow cells</t>
  </si>
  <si>
    <t xml:space="preserve">Blended internal cost per productive hour (₹)</t>
  </si>
  <si>
    <t xml:space="preserve">Derived from a content designer at ~₹28,000/month and an account lead at ~₹60,000/month, each delivering ~120 productive hours in a 160-hour month. Agency estimate.</t>
  </si>
  <si>
    <t xml:space="preserve">Productive hours per person per month</t>
  </si>
  <si>
    <t xml:space="preserve">Buffer applied to estimated hours</t>
  </si>
  <si>
    <t xml:space="preserve">Fixed monthly overhead (₹)</t>
  </si>
  <si>
    <t xml:space="preserve">Line</t>
  </si>
  <si>
    <t xml:space="preserve">Platinum</t>
  </si>
  <si>
    <t xml:space="preserve">Silver</t>
  </si>
  <si>
    <t xml:space="preserve">Notes</t>
  </si>
  <si>
    <t xml:space="preserve">Monthly fee (₹)</t>
  </si>
  <si>
    <t xml:space="preserve">Fixed price</t>
  </si>
  <si>
    <t xml:space="preserve">Strategy, calendar and account management (h)</t>
  </si>
  <si>
    <t xml:space="preserve">Agency estimate</t>
  </si>
  <si>
    <t xml:space="preserve">Design and content production (h)</t>
  </si>
  <si>
    <t xml:space="preserve">Publishing, SEO and optimisation (h)</t>
  </si>
  <si>
    <t xml:space="preserve">Reporting and meetings (h)</t>
  </si>
  <si>
    <t xml:space="preserve">QC, admin and client communication (h)</t>
  </si>
  <si>
    <t xml:space="preserve">Software and assets allocated (₹)</t>
  </si>
  <si>
    <t xml:space="preserve">Per client per month</t>
  </si>
  <si>
    <t xml:space="preserve">Estimated total hours</t>
  </si>
  <si>
    <t xml:space="preserve">Budgeted hours with buffer</t>
  </si>
  <si>
    <t xml:space="preserve">Delivery cost — labour (₹)</t>
  </si>
  <si>
    <t xml:space="preserve">Gross contribution (₹)</t>
  </si>
  <si>
    <t xml:space="preserve">Gross margin</t>
  </si>
  <si>
    <t xml:space="preserve">Revenue per delivery hour (₹)</t>
  </si>
  <si>
    <t xml:space="preserve">Hours at which the tier earns nothing</t>
  </si>
  <si>
    <t xml:space="preserve">Portfolio check — enter the number of clients on each tier</t>
  </si>
  <si>
    <t xml:space="preserve">Clients on this tier</t>
  </si>
  <si>
    <t xml:space="preserve">Gross contribution from the portfolio (₹)</t>
  </si>
  <si>
    <t xml:space="preserve">Budgeted delivery hours required</t>
  </si>
  <si>
    <t xml:space="preserve">Delivery people required</t>
  </si>
  <si>
    <t xml:space="preserve">Contribution after fixed overhead (₹)</t>
  </si>
  <si>
    <t xml:space="preserve">Gross contribution is not net profit: founder and sales time, accounting, non-allocated software, bad debt and tax sit below this line. One account lead can hold about 10 NGO relationships before report quality drops, which binds before production hours do.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</si>
</sst>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0.00"/>
    <numFmt numFmtId="167" formatCode="\₹#,##0;&quot;(₹&quot;#,##0\);\-"/>
    <numFmt numFmtId="168" formatCode="#,##0"/>
    <numFmt numFmtId="169" formatCode="0.0%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4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5" t="n">
        <v>40000</v>
      </c>
      <c r="C5" s="5" t="n">
        <v>25000</v>
      </c>
      <c r="D5" s="5" t="n">
        <v>15000</v>
      </c>
    </row>
    <row r="6" customFormat="false" ht="15" hidden="false" customHeight="false" outlineLevel="0" collapsed="false">
      <c r="A6" s="4" t="s">
        <v>6</v>
      </c>
      <c r="B6" s="6" t="s">
        <v>7</v>
      </c>
      <c r="C6" s="6" t="s">
        <v>8</v>
      </c>
      <c r="D6" s="6" t="s">
        <v>9</v>
      </c>
    </row>
    <row r="7" customFormat="false" ht="15" hidden="false" customHeight="false" outlineLevel="0" collapsed="false">
      <c r="A7" s="4" t="s">
        <v>10</v>
      </c>
      <c r="B7" s="6" t="s">
        <v>11</v>
      </c>
      <c r="C7" s="6" t="s">
        <v>12</v>
      </c>
      <c r="D7" s="6" t="s">
        <v>13</v>
      </c>
    </row>
    <row r="8" customFormat="false" ht="23.85" hidden="false" customHeight="false" outlineLevel="0" collapsed="false">
      <c r="A8" s="4" t="s">
        <v>14</v>
      </c>
      <c r="B8" s="6" t="s">
        <v>15</v>
      </c>
      <c r="C8" s="6" t="s">
        <v>16</v>
      </c>
      <c r="D8" s="6" t="s">
        <v>17</v>
      </c>
    </row>
    <row r="9" customFormat="false" ht="23.85" hidden="false" customHeight="false" outlineLevel="0" collapsed="false">
      <c r="A9" s="4" t="s">
        <v>18</v>
      </c>
      <c r="B9" s="6" t="s">
        <v>19</v>
      </c>
      <c r="C9" s="6" t="s">
        <v>20</v>
      </c>
      <c r="D9" s="6" t="s">
        <v>21</v>
      </c>
    </row>
    <row r="10" customFormat="false" ht="15" hidden="false" customHeight="false" outlineLevel="0" collapsed="false">
      <c r="A10" s="4" t="s">
        <v>22</v>
      </c>
      <c r="B10" s="7" t="n">
        <v>16</v>
      </c>
      <c r="C10" s="7" t="n">
        <v>8</v>
      </c>
      <c r="D10" s="7" t="n">
        <v>4</v>
      </c>
    </row>
    <row r="11" customFormat="false" ht="15" hidden="false" customHeight="false" outlineLevel="0" collapsed="false">
      <c r="A11" s="4" t="s">
        <v>23</v>
      </c>
      <c r="B11" s="6" t="s">
        <v>24</v>
      </c>
      <c r="C11" s="6" t="s">
        <v>25</v>
      </c>
      <c r="D11" s="6" t="s">
        <v>26</v>
      </c>
    </row>
    <row r="12" customFormat="false" ht="15" hidden="false" customHeight="false" outlineLevel="0" collapsed="false">
      <c r="A12" s="4" t="s">
        <v>27</v>
      </c>
      <c r="B12" s="6" t="s">
        <v>28</v>
      </c>
      <c r="C12" s="6" t="s">
        <v>28</v>
      </c>
      <c r="D12" s="6" t="s">
        <v>29</v>
      </c>
    </row>
    <row r="13" customFormat="false" ht="15" hidden="false" customHeight="false" outlineLevel="0" collapsed="false">
      <c r="A13" s="4" t="s">
        <v>30</v>
      </c>
      <c r="B13" s="6" t="s">
        <v>31</v>
      </c>
      <c r="C13" s="6" t="s">
        <v>31</v>
      </c>
      <c r="D13" s="6" t="s">
        <v>32</v>
      </c>
    </row>
    <row r="14" customFormat="false" ht="15" hidden="false" customHeight="false" outlineLevel="0" collapsed="false">
      <c r="A14" s="4" t="s">
        <v>33</v>
      </c>
      <c r="B14" s="6" t="s">
        <v>34</v>
      </c>
      <c r="C14" s="6" t="s">
        <v>35</v>
      </c>
      <c r="D14" s="6" t="s">
        <v>36</v>
      </c>
    </row>
    <row r="15" customFormat="false" ht="15" hidden="false" customHeight="false" outlineLevel="0" collapsed="false">
      <c r="A15" s="4" t="s">
        <v>37</v>
      </c>
      <c r="B15" s="6" t="s">
        <v>38</v>
      </c>
      <c r="C15" s="6" t="s">
        <v>38</v>
      </c>
      <c r="D15" s="6" t="s">
        <v>36</v>
      </c>
    </row>
    <row r="16" customFormat="false" ht="15" hidden="false" customHeight="false" outlineLevel="0" collapsed="false">
      <c r="A16" s="4" t="s">
        <v>39</v>
      </c>
      <c r="B16" s="6" t="s">
        <v>38</v>
      </c>
      <c r="C16" s="6" t="s">
        <v>40</v>
      </c>
      <c r="D16" s="6" t="s">
        <v>36</v>
      </c>
    </row>
    <row r="17" customFormat="false" ht="15" hidden="false" customHeight="false" outlineLevel="0" collapsed="false">
      <c r="A17" s="4" t="s">
        <v>41</v>
      </c>
      <c r="B17" s="6" t="s">
        <v>38</v>
      </c>
      <c r="C17" s="6" t="s">
        <v>42</v>
      </c>
      <c r="D17" s="6" t="s">
        <v>36</v>
      </c>
    </row>
    <row r="18" customFormat="false" ht="15" hidden="false" customHeight="false" outlineLevel="0" collapsed="false">
      <c r="A18" s="4" t="s">
        <v>43</v>
      </c>
      <c r="B18" s="6" t="s">
        <v>42</v>
      </c>
      <c r="C18" s="6" t="s">
        <v>40</v>
      </c>
      <c r="D18" s="6" t="s">
        <v>36</v>
      </c>
    </row>
    <row r="19" customFormat="false" ht="15" hidden="false" customHeight="false" outlineLevel="0" collapsed="false">
      <c r="A19" s="4" t="s">
        <v>44</v>
      </c>
      <c r="B19" s="6" t="s">
        <v>45</v>
      </c>
      <c r="C19" s="6" t="s">
        <v>46</v>
      </c>
      <c r="D19" s="6" t="s">
        <v>36</v>
      </c>
    </row>
    <row r="20" customFormat="false" ht="15" hidden="false" customHeight="false" outlineLevel="0" collapsed="false">
      <c r="A20" s="4" t="s">
        <v>47</v>
      </c>
      <c r="B20" s="6" t="s">
        <v>48</v>
      </c>
      <c r="C20" s="6" t="s">
        <v>49</v>
      </c>
      <c r="D20" s="6" t="s">
        <v>36</v>
      </c>
    </row>
    <row r="21" customFormat="false" ht="15" hidden="false" customHeight="false" outlineLevel="0" collapsed="false">
      <c r="A21" s="4" t="s">
        <v>50</v>
      </c>
      <c r="B21" s="6" t="s">
        <v>51</v>
      </c>
      <c r="C21" s="6" t="s">
        <v>36</v>
      </c>
      <c r="D21" s="6" t="s">
        <v>36</v>
      </c>
    </row>
    <row r="22" customFormat="false" ht="15" hidden="false" customHeight="false" outlineLevel="0" collapsed="false">
      <c r="A22" s="4" t="s">
        <v>52</v>
      </c>
      <c r="B22" s="6" t="s">
        <v>53</v>
      </c>
      <c r="C22" s="6" t="s">
        <v>54</v>
      </c>
      <c r="D22" s="6" t="s">
        <v>36</v>
      </c>
    </row>
    <row r="23" customFormat="false" ht="15" hidden="false" customHeight="false" outlineLevel="0" collapsed="false">
      <c r="A23" s="4" t="s">
        <v>55</v>
      </c>
      <c r="B23" s="6" t="s">
        <v>56</v>
      </c>
      <c r="C23" s="6" t="s">
        <v>57</v>
      </c>
      <c r="D23" s="6" t="s">
        <v>58</v>
      </c>
    </row>
    <row r="24" customFormat="false" ht="23.85" hidden="false" customHeight="false" outlineLevel="0" collapsed="false">
      <c r="A24" s="4" t="s">
        <v>59</v>
      </c>
      <c r="B24" s="6" t="s">
        <v>60</v>
      </c>
      <c r="C24" s="6" t="s">
        <v>61</v>
      </c>
      <c r="D24" s="6" t="s">
        <v>62</v>
      </c>
    </row>
    <row r="25" customFormat="false" ht="15" hidden="false" customHeight="false" outlineLevel="0" collapsed="false">
      <c r="A25" s="4" t="s">
        <v>63</v>
      </c>
      <c r="B25" s="6" t="s">
        <v>64</v>
      </c>
      <c r="C25" s="6" t="s">
        <v>65</v>
      </c>
      <c r="D25" s="6" t="s">
        <v>66</v>
      </c>
    </row>
    <row r="26" customFormat="false" ht="15" hidden="false" customHeight="false" outlineLevel="0" collapsed="false">
      <c r="A26" s="4" t="s">
        <v>67</v>
      </c>
      <c r="B26" s="6" t="s">
        <v>68</v>
      </c>
      <c r="C26" s="6" t="s">
        <v>68</v>
      </c>
      <c r="D26" s="6" t="s">
        <v>69</v>
      </c>
    </row>
    <row r="27" customFormat="false" ht="15" hidden="false" customHeight="false" outlineLevel="0" collapsed="false">
      <c r="A27" s="4" t="s">
        <v>70</v>
      </c>
      <c r="B27" s="6" t="s">
        <v>71</v>
      </c>
      <c r="C27" s="6" t="s">
        <v>71</v>
      </c>
      <c r="D27" s="6" t="s">
        <v>71</v>
      </c>
    </row>
    <row r="28" customFormat="false" ht="15" hidden="false" customHeight="false" outlineLevel="0" collapsed="false">
      <c r="A28" s="4" t="s">
        <v>72</v>
      </c>
      <c r="B28" s="8" t="n">
        <v>38.25</v>
      </c>
      <c r="C28" s="8" t="n">
        <v>22.8</v>
      </c>
      <c r="D28" s="8" t="n">
        <v>9.45</v>
      </c>
    </row>
    <row r="30" customFormat="false" ht="15" hidden="false" customHeight="false" outlineLevel="0" collapsed="false">
      <c r="A30" s="2" t="s">
        <v>73</v>
      </c>
      <c r="B30" s="2"/>
      <c r="C30" s="2"/>
      <c r="D30" s="2"/>
    </row>
  </sheetData>
  <mergeCells count="3">
    <mergeCell ref="A1:D1"/>
    <mergeCell ref="A2:D2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38"/>
  </cols>
  <sheetData>
    <row r="1" customFormat="false" ht="24" hidden="false" customHeight="true" outlineLevel="0" collapsed="false">
      <c r="A1" s="1" t="s">
        <v>74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</row>
    <row r="5" customFormat="false" ht="23.85" hidden="false" customHeight="false" outlineLevel="0" collapsed="false">
      <c r="A5" s="9" t="s">
        <v>83</v>
      </c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</row>
    <row r="6" customFormat="false" ht="23.85" hidden="false" customHeight="false" outlineLevel="0" collapsed="false">
      <c r="A6" s="9" t="s">
        <v>90</v>
      </c>
      <c r="B6" s="6" t="s">
        <v>91</v>
      </c>
      <c r="C6" s="6" t="s">
        <v>92</v>
      </c>
      <c r="D6" s="6" t="s">
        <v>93</v>
      </c>
      <c r="E6" s="6" t="s">
        <v>94</v>
      </c>
      <c r="F6" s="6" t="s">
        <v>95</v>
      </c>
      <c r="G6" s="6" t="s">
        <v>96</v>
      </c>
    </row>
    <row r="7" customFormat="false" ht="23.85" hidden="false" customHeight="false" outlineLevel="0" collapsed="false">
      <c r="A7" s="9" t="s">
        <v>97</v>
      </c>
      <c r="B7" s="6" t="s">
        <v>98</v>
      </c>
      <c r="C7" s="6" t="s">
        <v>99</v>
      </c>
      <c r="D7" s="6" t="s">
        <v>100</v>
      </c>
      <c r="E7" s="6" t="s">
        <v>94</v>
      </c>
      <c r="F7" s="6" t="s">
        <v>101</v>
      </c>
      <c r="G7" s="6" t="s">
        <v>102</v>
      </c>
    </row>
    <row r="8" customFormat="false" ht="23.85" hidden="false" customHeight="false" outlineLevel="0" collapsed="false">
      <c r="A8" s="9" t="s">
        <v>103</v>
      </c>
      <c r="B8" s="6" t="s">
        <v>104</v>
      </c>
      <c r="C8" s="6" t="s">
        <v>105</v>
      </c>
      <c r="D8" s="6" t="s">
        <v>106</v>
      </c>
      <c r="E8" s="6" t="s">
        <v>107</v>
      </c>
      <c r="F8" s="6" t="s">
        <v>108</v>
      </c>
      <c r="G8" s="6" t="s">
        <v>109</v>
      </c>
    </row>
    <row r="9" customFormat="false" ht="23.85" hidden="false" customHeight="false" outlineLevel="0" collapsed="false">
      <c r="A9" s="9" t="s">
        <v>18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 t="s">
        <v>115</v>
      </c>
    </row>
    <row r="10" customFormat="false" ht="23.85" hidden="false" customHeight="false" outlineLevel="0" collapsed="false">
      <c r="A10" s="9" t="s">
        <v>33</v>
      </c>
      <c r="B10" s="6" t="s">
        <v>84</v>
      </c>
      <c r="C10" s="6" t="s">
        <v>116</v>
      </c>
      <c r="D10" s="6" t="s">
        <v>117</v>
      </c>
      <c r="E10" s="6" t="s">
        <v>118</v>
      </c>
      <c r="F10" s="6" t="s">
        <v>119</v>
      </c>
      <c r="G10" s="6" t="s">
        <v>120</v>
      </c>
    </row>
    <row r="11" customFormat="false" ht="23.85" hidden="false" customHeight="false" outlineLevel="0" collapsed="false">
      <c r="A11" s="9" t="s">
        <v>121</v>
      </c>
      <c r="B11" s="6" t="s">
        <v>84</v>
      </c>
      <c r="C11" s="6" t="s">
        <v>122</v>
      </c>
      <c r="D11" s="6" t="s">
        <v>123</v>
      </c>
      <c r="E11" s="6" t="s">
        <v>124</v>
      </c>
      <c r="F11" s="6" t="s">
        <v>125</v>
      </c>
      <c r="G11" s="6" t="s">
        <v>126</v>
      </c>
    </row>
    <row r="12" customFormat="false" ht="23.85" hidden="false" customHeight="false" outlineLevel="0" collapsed="false">
      <c r="A12" s="9" t="s">
        <v>39</v>
      </c>
      <c r="B12" s="6" t="s">
        <v>84</v>
      </c>
      <c r="C12" s="6" t="s">
        <v>127</v>
      </c>
      <c r="D12" s="6" t="s">
        <v>128</v>
      </c>
      <c r="E12" s="6" t="s">
        <v>129</v>
      </c>
      <c r="F12" s="6" t="s">
        <v>130</v>
      </c>
      <c r="G12" s="6" t="s">
        <v>131</v>
      </c>
    </row>
    <row r="13" customFormat="false" ht="23.85" hidden="false" customHeight="false" outlineLevel="0" collapsed="false">
      <c r="A13" s="9" t="s">
        <v>132</v>
      </c>
      <c r="B13" s="6" t="s">
        <v>133</v>
      </c>
      <c r="C13" s="6" t="s">
        <v>134</v>
      </c>
      <c r="D13" s="6" t="s">
        <v>135</v>
      </c>
      <c r="E13" s="6" t="s">
        <v>94</v>
      </c>
      <c r="F13" s="6" t="s">
        <v>136</v>
      </c>
      <c r="G13" s="6" t="s">
        <v>137</v>
      </c>
    </row>
    <row r="14" customFormat="false" ht="23.85" hidden="false" customHeight="false" outlineLevel="0" collapsed="false">
      <c r="A14" s="9" t="s">
        <v>41</v>
      </c>
      <c r="B14" s="6" t="s">
        <v>84</v>
      </c>
      <c r="C14" s="6" t="s">
        <v>138</v>
      </c>
      <c r="D14" s="6" t="s">
        <v>139</v>
      </c>
      <c r="E14" s="6" t="s">
        <v>94</v>
      </c>
      <c r="F14" s="6" t="s">
        <v>140</v>
      </c>
      <c r="G14" s="6" t="s">
        <v>141</v>
      </c>
    </row>
    <row r="15" customFormat="false" ht="23.85" hidden="false" customHeight="false" outlineLevel="0" collapsed="false">
      <c r="A15" s="9" t="s">
        <v>43</v>
      </c>
      <c r="B15" s="6" t="s">
        <v>42</v>
      </c>
      <c r="C15" s="6" t="s">
        <v>142</v>
      </c>
      <c r="D15" s="6" t="s">
        <v>143</v>
      </c>
      <c r="E15" s="6" t="s">
        <v>144</v>
      </c>
      <c r="F15" s="6" t="s">
        <v>145</v>
      </c>
      <c r="G15" s="6" t="s">
        <v>146</v>
      </c>
    </row>
    <row r="16" customFormat="false" ht="23.85" hidden="false" customHeight="false" outlineLevel="0" collapsed="false">
      <c r="A16" s="9" t="s">
        <v>44</v>
      </c>
      <c r="B16" s="6" t="s">
        <v>147</v>
      </c>
      <c r="C16" s="6" t="s">
        <v>148</v>
      </c>
      <c r="D16" s="6" t="s">
        <v>149</v>
      </c>
      <c r="E16" s="6" t="s">
        <v>129</v>
      </c>
      <c r="F16" s="6" t="s">
        <v>150</v>
      </c>
      <c r="G16" s="6" t="s">
        <v>151</v>
      </c>
    </row>
    <row r="17" customFormat="false" ht="23.85" hidden="false" customHeight="false" outlineLevel="0" collapsed="false">
      <c r="A17" s="9" t="s">
        <v>47</v>
      </c>
      <c r="B17" s="6" t="s">
        <v>104</v>
      </c>
      <c r="C17" s="6" t="s">
        <v>152</v>
      </c>
      <c r="D17" s="6" t="s">
        <v>153</v>
      </c>
      <c r="E17" s="6" t="s">
        <v>129</v>
      </c>
      <c r="F17" s="6" t="s">
        <v>154</v>
      </c>
      <c r="G17" s="6" t="s">
        <v>155</v>
      </c>
    </row>
    <row r="18" customFormat="false" ht="23.85" hidden="false" customHeight="false" outlineLevel="0" collapsed="false">
      <c r="A18" s="9" t="s">
        <v>156</v>
      </c>
      <c r="B18" s="6" t="s">
        <v>104</v>
      </c>
      <c r="C18" s="6" t="s">
        <v>157</v>
      </c>
      <c r="D18" s="6" t="s">
        <v>158</v>
      </c>
      <c r="E18" s="6" t="s">
        <v>107</v>
      </c>
      <c r="F18" s="6" t="s">
        <v>159</v>
      </c>
      <c r="G18" s="6" t="s">
        <v>160</v>
      </c>
    </row>
    <row r="19" customFormat="false" ht="23.85" hidden="false" customHeight="false" outlineLevel="0" collapsed="false">
      <c r="A19" s="9" t="s">
        <v>52</v>
      </c>
      <c r="B19" s="6" t="s">
        <v>161</v>
      </c>
      <c r="C19" s="6" t="s">
        <v>162</v>
      </c>
      <c r="D19" s="6" t="s">
        <v>163</v>
      </c>
      <c r="E19" s="6" t="s">
        <v>107</v>
      </c>
      <c r="F19" s="6" t="s">
        <v>164</v>
      </c>
      <c r="G19" s="6" t="s">
        <v>165</v>
      </c>
    </row>
    <row r="20" customFormat="false" ht="23.85" hidden="false" customHeight="false" outlineLevel="0" collapsed="false">
      <c r="A20" s="9" t="s">
        <v>55</v>
      </c>
      <c r="B20" s="6" t="s">
        <v>84</v>
      </c>
      <c r="C20" s="6" t="s">
        <v>166</v>
      </c>
      <c r="D20" s="6" t="s">
        <v>167</v>
      </c>
      <c r="E20" s="6" t="s">
        <v>168</v>
      </c>
      <c r="F20" s="6" t="s">
        <v>169</v>
      </c>
      <c r="G20" s="6" t="s">
        <v>170</v>
      </c>
    </row>
    <row r="21" customFormat="false" ht="23.85" hidden="false" customHeight="false" outlineLevel="0" collapsed="false">
      <c r="A21" s="9" t="s">
        <v>59</v>
      </c>
      <c r="B21" s="6" t="s">
        <v>171</v>
      </c>
      <c r="C21" s="6" t="s">
        <v>172</v>
      </c>
      <c r="D21" s="6" t="s">
        <v>173</v>
      </c>
      <c r="E21" s="6" t="s">
        <v>107</v>
      </c>
      <c r="F21" s="6" t="s">
        <v>174</v>
      </c>
      <c r="G21" s="6" t="s">
        <v>175</v>
      </c>
    </row>
    <row r="23" customFormat="false" ht="15" hidden="false" customHeight="false" outlineLevel="0" collapsed="false">
      <c r="A23" s="2" t="s">
        <v>176</v>
      </c>
      <c r="B23" s="2"/>
      <c r="C23" s="2"/>
      <c r="D23" s="2"/>
      <c r="E23" s="2"/>
      <c r="F23" s="2"/>
      <c r="G23" s="2"/>
    </row>
  </sheetData>
  <mergeCells count="3">
    <mergeCell ref="A1:G1"/>
    <mergeCell ref="A2:G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38"/>
  </cols>
  <sheetData>
    <row r="1" customFormat="false" ht="24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178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</row>
    <row r="5" customFormat="false" ht="23.85" hidden="false" customHeight="false" outlineLevel="0" collapsed="false">
      <c r="A5" s="9" t="s">
        <v>83</v>
      </c>
      <c r="B5" s="6" t="s">
        <v>84</v>
      </c>
      <c r="C5" s="6" t="s">
        <v>179</v>
      </c>
      <c r="D5" s="6" t="s">
        <v>180</v>
      </c>
      <c r="E5" s="6" t="s">
        <v>87</v>
      </c>
      <c r="F5" s="6" t="s">
        <v>88</v>
      </c>
      <c r="G5" s="6" t="s">
        <v>89</v>
      </c>
    </row>
    <row r="6" customFormat="false" ht="23.85" hidden="false" customHeight="false" outlineLevel="0" collapsed="false">
      <c r="A6" s="9" t="s">
        <v>90</v>
      </c>
      <c r="B6" s="6" t="s">
        <v>181</v>
      </c>
      <c r="C6" s="6" t="s">
        <v>182</v>
      </c>
      <c r="D6" s="6" t="s">
        <v>93</v>
      </c>
      <c r="E6" s="6" t="s">
        <v>94</v>
      </c>
      <c r="F6" s="6" t="s">
        <v>95</v>
      </c>
      <c r="G6" s="6" t="s">
        <v>183</v>
      </c>
    </row>
    <row r="7" customFormat="false" ht="23.85" hidden="false" customHeight="false" outlineLevel="0" collapsed="false">
      <c r="A7" s="9" t="s">
        <v>97</v>
      </c>
      <c r="B7" s="6" t="s">
        <v>110</v>
      </c>
      <c r="C7" s="6" t="s">
        <v>184</v>
      </c>
      <c r="D7" s="6" t="s">
        <v>100</v>
      </c>
      <c r="E7" s="6" t="s">
        <v>94</v>
      </c>
      <c r="F7" s="6" t="s">
        <v>185</v>
      </c>
      <c r="G7" s="6" t="s">
        <v>186</v>
      </c>
    </row>
    <row r="8" customFormat="false" ht="23.85" hidden="false" customHeight="false" outlineLevel="0" collapsed="false">
      <c r="A8" s="9" t="s">
        <v>18</v>
      </c>
      <c r="B8" s="6" t="s">
        <v>187</v>
      </c>
      <c r="C8" s="6" t="s">
        <v>188</v>
      </c>
      <c r="D8" s="6" t="s">
        <v>112</v>
      </c>
      <c r="E8" s="6" t="s">
        <v>113</v>
      </c>
      <c r="F8" s="6" t="s">
        <v>189</v>
      </c>
      <c r="G8" s="6" t="s">
        <v>190</v>
      </c>
    </row>
    <row r="9" customFormat="false" ht="23.85" hidden="false" customHeight="false" outlineLevel="0" collapsed="false">
      <c r="A9" s="9" t="s">
        <v>33</v>
      </c>
      <c r="B9" s="6" t="s">
        <v>84</v>
      </c>
      <c r="C9" s="6" t="s">
        <v>191</v>
      </c>
      <c r="D9" s="6" t="s">
        <v>192</v>
      </c>
      <c r="E9" s="6" t="s">
        <v>118</v>
      </c>
      <c r="F9" s="6" t="s">
        <v>193</v>
      </c>
      <c r="G9" s="6" t="s">
        <v>194</v>
      </c>
    </row>
    <row r="10" customFormat="false" ht="15" hidden="false" customHeight="false" outlineLevel="0" collapsed="false">
      <c r="A10" s="9" t="s">
        <v>121</v>
      </c>
      <c r="B10" s="6" t="s">
        <v>84</v>
      </c>
      <c r="C10" s="6" t="s">
        <v>195</v>
      </c>
      <c r="D10" s="6" t="s">
        <v>196</v>
      </c>
      <c r="E10" s="6" t="s">
        <v>124</v>
      </c>
      <c r="F10" s="6" t="s">
        <v>125</v>
      </c>
      <c r="G10" s="6" t="s">
        <v>197</v>
      </c>
    </row>
    <row r="11" customFormat="false" ht="23.85" hidden="false" customHeight="false" outlineLevel="0" collapsed="false">
      <c r="A11" s="9" t="s">
        <v>41</v>
      </c>
      <c r="B11" s="6" t="s">
        <v>42</v>
      </c>
      <c r="C11" s="6" t="s">
        <v>138</v>
      </c>
      <c r="D11" s="6" t="s">
        <v>198</v>
      </c>
      <c r="E11" s="6" t="s">
        <v>94</v>
      </c>
      <c r="F11" s="6" t="s">
        <v>140</v>
      </c>
      <c r="G11" s="6" t="s">
        <v>199</v>
      </c>
    </row>
    <row r="12" customFormat="false" ht="15" hidden="false" customHeight="false" outlineLevel="0" collapsed="false">
      <c r="A12" s="9" t="s">
        <v>44</v>
      </c>
      <c r="B12" s="6" t="s">
        <v>200</v>
      </c>
      <c r="C12" s="6" t="s">
        <v>201</v>
      </c>
      <c r="D12" s="6" t="s">
        <v>202</v>
      </c>
      <c r="E12" s="6" t="s">
        <v>129</v>
      </c>
      <c r="F12" s="6" t="s">
        <v>150</v>
      </c>
      <c r="G12" s="6" t="s">
        <v>203</v>
      </c>
    </row>
    <row r="13" customFormat="false" ht="15" hidden="false" customHeight="false" outlineLevel="0" collapsed="false">
      <c r="A13" s="9" t="s">
        <v>47</v>
      </c>
      <c r="B13" s="6" t="s">
        <v>204</v>
      </c>
      <c r="C13" s="6" t="s">
        <v>205</v>
      </c>
      <c r="D13" s="6" t="s">
        <v>153</v>
      </c>
      <c r="E13" s="6" t="s">
        <v>107</v>
      </c>
      <c r="F13" s="6" t="s">
        <v>206</v>
      </c>
      <c r="G13" s="6" t="s">
        <v>207</v>
      </c>
    </row>
    <row r="14" customFormat="false" ht="23.85" hidden="false" customHeight="false" outlineLevel="0" collapsed="false">
      <c r="A14" s="9" t="s">
        <v>208</v>
      </c>
      <c r="B14" s="6" t="s">
        <v>161</v>
      </c>
      <c r="C14" s="6" t="s">
        <v>209</v>
      </c>
      <c r="D14" s="6" t="s">
        <v>210</v>
      </c>
      <c r="E14" s="6" t="s">
        <v>107</v>
      </c>
      <c r="F14" s="6" t="s">
        <v>164</v>
      </c>
      <c r="G14" s="6" t="s">
        <v>211</v>
      </c>
    </row>
    <row r="15" customFormat="false" ht="23.85" hidden="false" customHeight="false" outlineLevel="0" collapsed="false">
      <c r="A15" s="9" t="s">
        <v>55</v>
      </c>
      <c r="B15" s="6" t="s">
        <v>84</v>
      </c>
      <c r="C15" s="6" t="s">
        <v>212</v>
      </c>
      <c r="D15" s="6" t="s">
        <v>167</v>
      </c>
      <c r="E15" s="6" t="s">
        <v>168</v>
      </c>
      <c r="F15" s="6" t="s">
        <v>169</v>
      </c>
      <c r="G15" s="6" t="s">
        <v>170</v>
      </c>
    </row>
    <row r="16" customFormat="false" ht="15" hidden="false" customHeight="false" outlineLevel="0" collapsed="false">
      <c r="A16" s="9" t="s">
        <v>59</v>
      </c>
      <c r="B16" s="6" t="s">
        <v>84</v>
      </c>
      <c r="C16" s="6" t="s">
        <v>213</v>
      </c>
      <c r="D16" s="6" t="s">
        <v>173</v>
      </c>
      <c r="E16" s="6" t="s">
        <v>107</v>
      </c>
      <c r="F16" s="6" t="s">
        <v>174</v>
      </c>
      <c r="G16" s="6" t="s">
        <v>214</v>
      </c>
    </row>
    <row r="18" customFormat="false" ht="15" hidden="false" customHeight="false" outlineLevel="0" collapsed="false">
      <c r="A18" s="2" t="s">
        <v>176</v>
      </c>
      <c r="B18" s="2"/>
      <c r="C18" s="2"/>
      <c r="D18" s="2"/>
      <c r="E18" s="2"/>
      <c r="F18" s="2"/>
      <c r="G18" s="2"/>
    </row>
  </sheetData>
  <mergeCells count="3">
    <mergeCell ref="A1:G1"/>
    <mergeCell ref="A2:G2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26"/>
    <col collapsed="false" customWidth="true" hidden="false" outlineLevel="0" max="7" min="7" style="0" width="38"/>
  </cols>
  <sheetData>
    <row r="1" customFormat="false" ht="24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216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</row>
    <row r="5" customFormat="false" ht="15" hidden="false" customHeight="false" outlineLevel="0" collapsed="false">
      <c r="A5" s="9" t="s">
        <v>83</v>
      </c>
      <c r="B5" s="6" t="s">
        <v>84</v>
      </c>
      <c r="C5" s="6" t="s">
        <v>217</v>
      </c>
      <c r="D5" s="6" t="s">
        <v>218</v>
      </c>
      <c r="E5" s="6" t="s">
        <v>87</v>
      </c>
      <c r="F5" s="6" t="s">
        <v>88</v>
      </c>
      <c r="G5" s="6" t="s">
        <v>89</v>
      </c>
    </row>
    <row r="6" customFormat="false" ht="23.85" hidden="false" customHeight="false" outlineLevel="0" collapsed="false">
      <c r="A6" s="9" t="s">
        <v>90</v>
      </c>
      <c r="B6" s="6" t="s">
        <v>110</v>
      </c>
      <c r="C6" s="6" t="s">
        <v>219</v>
      </c>
      <c r="D6" s="6" t="s">
        <v>220</v>
      </c>
      <c r="E6" s="6" t="s">
        <v>94</v>
      </c>
      <c r="F6" s="6" t="s">
        <v>95</v>
      </c>
      <c r="G6" s="6" t="s">
        <v>221</v>
      </c>
    </row>
    <row r="7" customFormat="false" ht="23.85" hidden="false" customHeight="false" outlineLevel="0" collapsed="false">
      <c r="A7" s="9" t="s">
        <v>97</v>
      </c>
      <c r="B7" s="6" t="s">
        <v>222</v>
      </c>
      <c r="C7" s="6" t="s">
        <v>223</v>
      </c>
      <c r="D7" s="6" t="s">
        <v>100</v>
      </c>
      <c r="E7" s="6" t="s">
        <v>94</v>
      </c>
      <c r="F7" s="6" t="s">
        <v>185</v>
      </c>
      <c r="G7" s="6" t="s">
        <v>224</v>
      </c>
    </row>
    <row r="8" customFormat="false" ht="23.85" hidden="false" customHeight="false" outlineLevel="0" collapsed="false">
      <c r="A8" s="9" t="s">
        <v>18</v>
      </c>
      <c r="B8" s="6" t="s">
        <v>222</v>
      </c>
      <c r="C8" s="6" t="s">
        <v>225</v>
      </c>
      <c r="D8" s="6" t="s">
        <v>112</v>
      </c>
      <c r="E8" s="6" t="s">
        <v>113</v>
      </c>
      <c r="F8" s="6" t="s">
        <v>189</v>
      </c>
      <c r="G8" s="6" t="s">
        <v>226</v>
      </c>
    </row>
    <row r="9" customFormat="false" ht="23.85" hidden="false" customHeight="false" outlineLevel="0" collapsed="false">
      <c r="A9" s="9" t="s">
        <v>227</v>
      </c>
      <c r="B9" s="6" t="s">
        <v>228</v>
      </c>
      <c r="C9" s="6" t="s">
        <v>229</v>
      </c>
      <c r="D9" s="6" t="s">
        <v>230</v>
      </c>
      <c r="E9" s="6" t="s">
        <v>231</v>
      </c>
      <c r="F9" s="6" t="s">
        <v>232</v>
      </c>
      <c r="G9" s="6" t="s">
        <v>233</v>
      </c>
    </row>
    <row r="10" customFormat="false" ht="23.85" hidden="false" customHeight="false" outlineLevel="0" collapsed="false">
      <c r="A10" s="9" t="s">
        <v>234</v>
      </c>
      <c r="B10" s="6" t="s">
        <v>228</v>
      </c>
      <c r="C10" s="6" t="s">
        <v>235</v>
      </c>
      <c r="D10" s="6" t="s">
        <v>236</v>
      </c>
      <c r="E10" s="6" t="s">
        <v>113</v>
      </c>
      <c r="F10" s="6" t="s">
        <v>237</v>
      </c>
      <c r="G10" s="6" t="s">
        <v>238</v>
      </c>
    </row>
    <row r="11" customFormat="false" ht="23.85" hidden="false" customHeight="false" outlineLevel="0" collapsed="false">
      <c r="A11" s="9" t="s">
        <v>55</v>
      </c>
      <c r="B11" s="6" t="s">
        <v>84</v>
      </c>
      <c r="C11" s="6" t="s">
        <v>239</v>
      </c>
      <c r="D11" s="6" t="s">
        <v>240</v>
      </c>
      <c r="E11" s="6" t="s">
        <v>87</v>
      </c>
      <c r="F11" s="6" t="s">
        <v>169</v>
      </c>
      <c r="G11" s="6" t="s">
        <v>241</v>
      </c>
    </row>
    <row r="12" customFormat="false" ht="15" hidden="false" customHeight="false" outlineLevel="0" collapsed="false">
      <c r="A12" s="9" t="s">
        <v>59</v>
      </c>
      <c r="B12" s="6" t="s">
        <v>84</v>
      </c>
      <c r="C12" s="6" t="s">
        <v>242</v>
      </c>
      <c r="D12" s="6" t="s">
        <v>243</v>
      </c>
      <c r="E12" s="6" t="s">
        <v>107</v>
      </c>
      <c r="F12" s="6" t="s">
        <v>174</v>
      </c>
      <c r="G12" s="6" t="s">
        <v>244</v>
      </c>
    </row>
    <row r="14" customFormat="false" ht="15" hidden="false" customHeight="false" outlineLevel="0" collapsed="false">
      <c r="A14" s="2" t="s">
        <v>176</v>
      </c>
      <c r="B14" s="2"/>
      <c r="C14" s="2"/>
      <c r="D14" s="2"/>
      <c r="E14" s="2"/>
      <c r="F14" s="2"/>
      <c r="G14" s="2"/>
    </row>
  </sheetData>
  <mergeCells count="3">
    <mergeCell ref="A1:G1"/>
    <mergeCell ref="A2:G2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5" min="5" style="0" width="54"/>
  </cols>
  <sheetData>
    <row r="1" customFormat="false" ht="24" hidden="false" customHeight="true" outlineLevel="0" collapsed="false">
      <c r="A1" s="1" t="s">
        <v>245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246</v>
      </c>
      <c r="B2" s="2"/>
      <c r="C2" s="2"/>
      <c r="D2" s="2"/>
      <c r="E2" s="2"/>
    </row>
    <row r="4" customFormat="false" ht="30" hidden="false" customHeight="true" outlineLevel="0" collapsed="false">
      <c r="A4" s="3" t="s">
        <v>247</v>
      </c>
      <c r="B4" s="3" t="s">
        <v>248</v>
      </c>
      <c r="C4" s="3" t="s">
        <v>249</v>
      </c>
      <c r="D4" s="3" t="s">
        <v>250</v>
      </c>
      <c r="E4" s="3" t="s">
        <v>251</v>
      </c>
    </row>
    <row r="5" customFormat="false" ht="15" hidden="false" customHeight="false" outlineLevel="0" collapsed="false">
      <c r="A5" s="10" t="s">
        <v>252</v>
      </c>
      <c r="B5" s="6" t="s">
        <v>253</v>
      </c>
      <c r="C5" s="6" t="s">
        <v>254</v>
      </c>
      <c r="D5" s="11" t="n">
        <v>3000</v>
      </c>
      <c r="E5" s="6" t="s">
        <v>255</v>
      </c>
    </row>
    <row r="6" customFormat="false" ht="15" hidden="false" customHeight="false" outlineLevel="0" collapsed="false">
      <c r="A6" s="10" t="s">
        <v>252</v>
      </c>
      <c r="B6" s="6" t="s">
        <v>256</v>
      </c>
      <c r="C6" s="6" t="s">
        <v>257</v>
      </c>
      <c r="D6" s="11" t="n">
        <v>4000</v>
      </c>
      <c r="E6" s="6" t="s">
        <v>258</v>
      </c>
    </row>
    <row r="7" customFormat="false" ht="15" hidden="false" customHeight="false" outlineLevel="0" collapsed="false">
      <c r="A7" s="10" t="s">
        <v>252</v>
      </c>
      <c r="B7" s="6" t="s">
        <v>259</v>
      </c>
      <c r="C7" s="6" t="s">
        <v>254</v>
      </c>
      <c r="D7" s="11" t="n">
        <v>3000</v>
      </c>
      <c r="E7" s="6" t="s">
        <v>260</v>
      </c>
    </row>
    <row r="8" customFormat="false" ht="15" hidden="false" customHeight="false" outlineLevel="0" collapsed="false">
      <c r="A8" s="10" t="s">
        <v>252</v>
      </c>
      <c r="B8" s="6" t="s">
        <v>261</v>
      </c>
      <c r="C8" s="6" t="s">
        <v>262</v>
      </c>
      <c r="D8" s="11" t="n">
        <v>4000</v>
      </c>
      <c r="E8" s="6" t="s">
        <v>258</v>
      </c>
    </row>
    <row r="9" customFormat="false" ht="15" hidden="false" customHeight="false" outlineLevel="0" collapsed="false">
      <c r="A9" s="10" t="s">
        <v>252</v>
      </c>
      <c r="B9" s="6" t="s">
        <v>263</v>
      </c>
      <c r="C9" s="6" t="s">
        <v>264</v>
      </c>
      <c r="D9" s="11" t="n">
        <v>3500</v>
      </c>
      <c r="E9" s="6" t="s">
        <v>265</v>
      </c>
    </row>
    <row r="10" customFormat="false" ht="15" hidden="false" customHeight="false" outlineLevel="0" collapsed="false">
      <c r="A10" s="10" t="s">
        <v>252</v>
      </c>
      <c r="B10" s="6" t="s">
        <v>266</v>
      </c>
      <c r="C10" s="6" t="s">
        <v>267</v>
      </c>
      <c r="D10" s="11" t="n">
        <v>3500</v>
      </c>
      <c r="E10" s="6" t="s">
        <v>268</v>
      </c>
    </row>
    <row r="11" customFormat="false" ht="15" hidden="false" customHeight="false" outlineLevel="0" collapsed="false">
      <c r="A11" s="10" t="s">
        <v>252</v>
      </c>
      <c r="B11" s="6" t="s">
        <v>269</v>
      </c>
      <c r="C11" s="6" t="s">
        <v>270</v>
      </c>
      <c r="D11" s="11" t="n">
        <v>4000</v>
      </c>
      <c r="E11" s="6" t="s">
        <v>271</v>
      </c>
    </row>
    <row r="12" customFormat="false" ht="15" hidden="false" customHeight="false" outlineLevel="0" collapsed="false">
      <c r="A12" s="10" t="s">
        <v>252</v>
      </c>
      <c r="B12" s="6" t="s">
        <v>272</v>
      </c>
      <c r="C12" s="6" t="s">
        <v>273</v>
      </c>
      <c r="D12" s="11" t="n">
        <v>5000</v>
      </c>
      <c r="E12" s="6" t="s">
        <v>271</v>
      </c>
    </row>
    <row r="13" customFormat="false" ht="15" hidden="false" customHeight="false" outlineLevel="0" collapsed="false">
      <c r="A13" s="10" t="s">
        <v>252</v>
      </c>
      <c r="B13" s="6" t="s">
        <v>274</v>
      </c>
      <c r="C13" s="6" t="s">
        <v>275</v>
      </c>
      <c r="D13" s="11" t="n">
        <v>8000</v>
      </c>
      <c r="E13" s="6" t="s">
        <v>258</v>
      </c>
    </row>
    <row r="14" customFormat="false" ht="23.85" hidden="false" customHeight="false" outlineLevel="0" collapsed="false">
      <c r="A14" s="10" t="s">
        <v>252</v>
      </c>
      <c r="B14" s="6" t="s">
        <v>276</v>
      </c>
      <c r="C14" s="6" t="s">
        <v>277</v>
      </c>
      <c r="D14" s="11" t="n">
        <v>12000</v>
      </c>
      <c r="E14" s="6" t="s">
        <v>278</v>
      </c>
    </row>
    <row r="15" customFormat="false" ht="23.85" hidden="false" customHeight="false" outlineLevel="0" collapsed="false">
      <c r="A15" s="10" t="s">
        <v>252</v>
      </c>
      <c r="B15" s="6" t="s">
        <v>279</v>
      </c>
      <c r="C15" s="6" t="s">
        <v>280</v>
      </c>
      <c r="D15" s="11" t="n">
        <v>10000</v>
      </c>
      <c r="E15" s="6" t="s">
        <v>281</v>
      </c>
    </row>
    <row r="16" customFormat="false" ht="15" hidden="false" customHeight="false" outlineLevel="0" collapsed="false">
      <c r="A16" s="10" t="s">
        <v>252</v>
      </c>
      <c r="B16" s="6" t="s">
        <v>282</v>
      </c>
      <c r="C16" s="6" t="s">
        <v>283</v>
      </c>
      <c r="D16" s="11" t="n">
        <v>25000</v>
      </c>
      <c r="E16" s="6" t="s">
        <v>258</v>
      </c>
    </row>
    <row r="17" customFormat="false" ht="15" hidden="false" customHeight="false" outlineLevel="0" collapsed="false">
      <c r="A17" s="10" t="s">
        <v>252</v>
      </c>
      <c r="B17" s="6" t="s">
        <v>284</v>
      </c>
      <c r="C17" s="6" t="s">
        <v>240</v>
      </c>
      <c r="D17" s="11" t="n">
        <v>2000</v>
      </c>
      <c r="E17" s="6" t="s">
        <v>268</v>
      </c>
    </row>
    <row r="18" customFormat="false" ht="15" hidden="false" customHeight="false" outlineLevel="0" collapsed="false">
      <c r="A18" s="10" t="s">
        <v>252</v>
      </c>
      <c r="B18" s="6" t="s">
        <v>285</v>
      </c>
      <c r="C18" s="6" t="s">
        <v>240</v>
      </c>
      <c r="D18" s="11" t="n">
        <v>1500</v>
      </c>
      <c r="E18" s="6" t="s">
        <v>268</v>
      </c>
    </row>
    <row r="19" customFormat="false" ht="15" hidden="false" customHeight="false" outlineLevel="0" collapsed="false">
      <c r="A19" s="10" t="s">
        <v>286</v>
      </c>
      <c r="B19" s="6" t="s">
        <v>287</v>
      </c>
      <c r="C19" s="6" t="s">
        <v>288</v>
      </c>
      <c r="D19" s="11" t="n">
        <v>32000</v>
      </c>
      <c r="E19" s="6" t="s">
        <v>289</v>
      </c>
    </row>
    <row r="20" customFormat="false" ht="15" hidden="false" customHeight="false" outlineLevel="0" collapsed="false">
      <c r="A20" s="10" t="s">
        <v>286</v>
      </c>
      <c r="B20" s="6" t="s">
        <v>290</v>
      </c>
      <c r="C20" s="6" t="s">
        <v>291</v>
      </c>
      <c r="D20" s="11" t="n">
        <v>25000</v>
      </c>
      <c r="E20" s="6" t="s">
        <v>289</v>
      </c>
    </row>
    <row r="21" customFormat="false" ht="15" hidden="false" customHeight="false" outlineLevel="0" collapsed="false">
      <c r="A21" s="10" t="s">
        <v>286</v>
      </c>
      <c r="B21" s="6" t="s">
        <v>292</v>
      </c>
      <c r="C21" s="6" t="s">
        <v>293</v>
      </c>
      <c r="D21" s="11" t="n">
        <v>30000</v>
      </c>
      <c r="E21" s="6" t="s">
        <v>289</v>
      </c>
    </row>
    <row r="22" customFormat="false" ht="15" hidden="false" customHeight="false" outlineLevel="0" collapsed="false">
      <c r="A22" s="10" t="s">
        <v>286</v>
      </c>
      <c r="B22" s="6" t="s">
        <v>294</v>
      </c>
      <c r="C22" s="6" t="s">
        <v>295</v>
      </c>
      <c r="D22" s="11" t="n">
        <v>22000</v>
      </c>
      <c r="E22" s="6" t="s">
        <v>289</v>
      </c>
    </row>
    <row r="23" customFormat="false" ht="15" hidden="false" customHeight="false" outlineLevel="0" collapsed="false">
      <c r="A23" s="10" t="s">
        <v>286</v>
      </c>
      <c r="B23" s="6" t="s">
        <v>296</v>
      </c>
      <c r="C23" s="6" t="s">
        <v>297</v>
      </c>
      <c r="D23" s="11" t="n">
        <v>12000</v>
      </c>
      <c r="E23" s="6" t="s">
        <v>289</v>
      </c>
    </row>
    <row r="24" customFormat="false" ht="15" hidden="false" customHeight="false" outlineLevel="0" collapsed="false">
      <c r="A24" s="10" t="s">
        <v>286</v>
      </c>
      <c r="B24" s="6" t="s">
        <v>298</v>
      </c>
      <c r="C24" s="6" t="s">
        <v>299</v>
      </c>
      <c r="D24" s="11" t="n">
        <v>18000</v>
      </c>
      <c r="E24" s="6" t="s">
        <v>289</v>
      </c>
    </row>
    <row r="25" customFormat="false" ht="15" hidden="false" customHeight="false" outlineLevel="0" collapsed="false">
      <c r="A25" s="10" t="s">
        <v>286</v>
      </c>
      <c r="B25" s="6" t="s">
        <v>300</v>
      </c>
      <c r="C25" s="6" t="s">
        <v>270</v>
      </c>
      <c r="D25" s="11" t="n">
        <v>20000</v>
      </c>
      <c r="E25" s="6" t="s">
        <v>289</v>
      </c>
    </row>
    <row r="26" customFormat="false" ht="15" hidden="false" customHeight="false" outlineLevel="0" collapsed="false">
      <c r="A26" s="10" t="s">
        <v>286</v>
      </c>
      <c r="B26" s="6" t="s">
        <v>301</v>
      </c>
      <c r="C26" s="6" t="s">
        <v>302</v>
      </c>
      <c r="D26" s="11" t="n">
        <v>18000</v>
      </c>
      <c r="E26" s="6" t="s">
        <v>289</v>
      </c>
    </row>
    <row r="27" customFormat="false" ht="15" hidden="false" customHeight="false" outlineLevel="0" collapsed="false">
      <c r="A27" s="10" t="s">
        <v>286</v>
      </c>
      <c r="B27" s="6" t="s">
        <v>303</v>
      </c>
      <c r="C27" s="6" t="s">
        <v>273</v>
      </c>
      <c r="D27" s="11" t="n">
        <v>25000</v>
      </c>
      <c r="E27" s="6" t="s">
        <v>289</v>
      </c>
    </row>
    <row r="28" customFormat="false" ht="15" hidden="false" customHeight="false" outlineLevel="0" collapsed="false">
      <c r="A28" s="10" t="s">
        <v>286</v>
      </c>
      <c r="B28" s="6" t="s">
        <v>304</v>
      </c>
      <c r="C28" s="6" t="s">
        <v>277</v>
      </c>
      <c r="D28" s="11" t="n">
        <v>15000</v>
      </c>
      <c r="E28" s="6" t="s">
        <v>289</v>
      </c>
    </row>
    <row r="29" customFormat="false" ht="15" hidden="false" customHeight="false" outlineLevel="0" collapsed="false">
      <c r="A29" s="10" t="s">
        <v>286</v>
      </c>
      <c r="B29" s="6" t="s">
        <v>305</v>
      </c>
      <c r="C29" s="6" t="s">
        <v>306</v>
      </c>
      <c r="D29" s="11" t="n">
        <v>12000</v>
      </c>
      <c r="E29" s="6" t="s">
        <v>307</v>
      </c>
    </row>
    <row r="30" customFormat="false" ht="15" hidden="false" customHeight="false" outlineLevel="0" collapsed="false">
      <c r="A30" s="10" t="s">
        <v>286</v>
      </c>
      <c r="B30" s="6" t="s">
        <v>308</v>
      </c>
      <c r="C30" s="6" t="s">
        <v>309</v>
      </c>
      <c r="D30" s="11" t="n">
        <v>20000</v>
      </c>
      <c r="E30" s="6" t="s">
        <v>310</v>
      </c>
    </row>
    <row r="31" customFormat="false" ht="15" hidden="false" customHeight="false" outlineLevel="0" collapsed="false">
      <c r="A31" s="10" t="s">
        <v>286</v>
      </c>
      <c r="B31" s="6" t="s">
        <v>311</v>
      </c>
      <c r="C31" s="6" t="s">
        <v>312</v>
      </c>
      <c r="D31" s="11" t="n">
        <v>15000</v>
      </c>
      <c r="E31" s="6" t="s">
        <v>313</v>
      </c>
    </row>
    <row r="32" customFormat="false" ht="15" hidden="false" customHeight="false" outlineLevel="0" collapsed="false">
      <c r="A32" s="10" t="s">
        <v>314</v>
      </c>
      <c r="B32" s="6" t="s">
        <v>315</v>
      </c>
      <c r="C32" s="6" t="s">
        <v>316</v>
      </c>
      <c r="D32" s="11" t="n">
        <v>35000</v>
      </c>
      <c r="E32" s="6" t="s">
        <v>317</v>
      </c>
    </row>
    <row r="33" customFormat="false" ht="15" hidden="false" customHeight="false" outlineLevel="0" collapsed="false">
      <c r="A33" s="10" t="s">
        <v>314</v>
      </c>
      <c r="B33" s="6" t="s">
        <v>318</v>
      </c>
      <c r="C33" s="6" t="s">
        <v>319</v>
      </c>
      <c r="D33" s="11" t="n">
        <v>45000</v>
      </c>
      <c r="E33" s="6" t="s">
        <v>317</v>
      </c>
    </row>
    <row r="34" customFormat="false" ht="15" hidden="false" customHeight="false" outlineLevel="0" collapsed="false">
      <c r="A34" s="10" t="s">
        <v>314</v>
      </c>
      <c r="B34" s="6" t="s">
        <v>320</v>
      </c>
      <c r="C34" s="6" t="s">
        <v>321</v>
      </c>
      <c r="D34" s="11" t="n">
        <v>85000</v>
      </c>
      <c r="E34" s="6" t="s">
        <v>317</v>
      </c>
    </row>
    <row r="35" customFormat="false" ht="15" hidden="false" customHeight="false" outlineLevel="0" collapsed="false">
      <c r="A35" s="10" t="s">
        <v>314</v>
      </c>
      <c r="B35" s="6" t="s">
        <v>322</v>
      </c>
      <c r="C35" s="6" t="s">
        <v>323</v>
      </c>
      <c r="D35" s="11" t="n">
        <v>40000</v>
      </c>
      <c r="E35" s="6" t="s">
        <v>317</v>
      </c>
    </row>
    <row r="36" customFormat="false" ht="15" hidden="false" customHeight="false" outlineLevel="0" collapsed="false">
      <c r="A36" s="10" t="s">
        <v>314</v>
      </c>
      <c r="B36" s="6" t="s">
        <v>324</v>
      </c>
      <c r="C36" s="6" t="s">
        <v>325</v>
      </c>
      <c r="D36" s="11" t="n">
        <v>35000</v>
      </c>
      <c r="E36" s="6" t="s">
        <v>326</v>
      </c>
    </row>
    <row r="37" customFormat="false" ht="15" hidden="false" customHeight="false" outlineLevel="0" collapsed="false">
      <c r="A37" s="10" t="s">
        <v>314</v>
      </c>
      <c r="B37" s="6" t="s">
        <v>327</v>
      </c>
      <c r="C37" s="6" t="s">
        <v>328</v>
      </c>
      <c r="D37" s="11" t="n">
        <v>50000</v>
      </c>
      <c r="E37" s="6" t="s">
        <v>317</v>
      </c>
    </row>
    <row r="38" customFormat="false" ht="15" hidden="false" customHeight="false" outlineLevel="0" collapsed="false">
      <c r="A38" s="10" t="s">
        <v>314</v>
      </c>
      <c r="B38" s="6" t="s">
        <v>329</v>
      </c>
      <c r="C38" s="6" t="s">
        <v>330</v>
      </c>
      <c r="D38" s="11" t="n">
        <v>250000</v>
      </c>
      <c r="E38" s="6" t="s">
        <v>331</v>
      </c>
    </row>
    <row r="39" customFormat="false" ht="15" hidden="false" customHeight="false" outlineLevel="0" collapsed="false">
      <c r="A39" s="10" t="s">
        <v>314</v>
      </c>
      <c r="B39" s="6" t="s">
        <v>332</v>
      </c>
      <c r="C39" s="6" t="s">
        <v>333</v>
      </c>
      <c r="D39" s="11" t="n">
        <v>30000</v>
      </c>
      <c r="E39" s="6" t="s">
        <v>334</v>
      </c>
    </row>
    <row r="40" customFormat="false" ht="15" hidden="false" customHeight="false" outlineLevel="0" collapsed="false">
      <c r="A40" s="10" t="s">
        <v>314</v>
      </c>
      <c r="B40" s="6" t="s">
        <v>335</v>
      </c>
      <c r="C40" s="6" t="s">
        <v>336</v>
      </c>
      <c r="D40" s="11" t="n">
        <v>25000</v>
      </c>
      <c r="E40" s="6" t="s">
        <v>337</v>
      </c>
    </row>
    <row r="41" customFormat="false" ht="15" hidden="false" customHeight="false" outlineLevel="0" collapsed="false">
      <c r="A41" s="10" t="s">
        <v>314</v>
      </c>
      <c r="B41" s="6" t="s">
        <v>338</v>
      </c>
      <c r="C41" s="6" t="s">
        <v>339</v>
      </c>
      <c r="D41" s="11" t="n">
        <v>18000</v>
      </c>
      <c r="E41" s="6" t="s">
        <v>340</v>
      </c>
    </row>
    <row r="42" customFormat="false" ht="15" hidden="false" customHeight="false" outlineLevel="0" collapsed="false">
      <c r="A42" s="10" t="s">
        <v>314</v>
      </c>
      <c r="B42" s="6" t="s">
        <v>341</v>
      </c>
      <c r="C42" s="6" t="s">
        <v>342</v>
      </c>
      <c r="D42" s="11" t="n">
        <v>20000</v>
      </c>
      <c r="E42" s="6" t="s">
        <v>343</v>
      </c>
    </row>
    <row r="43" customFormat="false" ht="15" hidden="false" customHeight="false" outlineLevel="0" collapsed="false">
      <c r="A43" s="10" t="s">
        <v>314</v>
      </c>
      <c r="B43" s="6" t="s">
        <v>344</v>
      </c>
      <c r="C43" s="6" t="s">
        <v>345</v>
      </c>
      <c r="D43" s="11" t="n">
        <v>60000</v>
      </c>
      <c r="E43" s="6" t="s">
        <v>346</v>
      </c>
    </row>
    <row r="44" customFormat="false" ht="15" hidden="false" customHeight="false" outlineLevel="0" collapsed="false">
      <c r="A44" s="10" t="s">
        <v>314</v>
      </c>
      <c r="B44" s="6" t="s">
        <v>347</v>
      </c>
      <c r="C44" s="6" t="s">
        <v>348</v>
      </c>
      <c r="D44" s="11" t="n">
        <v>10000</v>
      </c>
      <c r="E44" s="6" t="s">
        <v>349</v>
      </c>
    </row>
    <row r="46" customFormat="false" ht="15" hidden="false" customHeight="false" outlineLevel="0" collapsed="false">
      <c r="A46" s="2" t="s">
        <v>350</v>
      </c>
      <c r="B46" s="2"/>
      <c r="C46" s="2"/>
      <c r="D46" s="2"/>
      <c r="E46" s="2"/>
    </row>
  </sheetData>
  <mergeCells count="3">
    <mergeCell ref="A1:E1"/>
    <mergeCell ref="A2:E2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" t="s">
        <v>351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352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353</v>
      </c>
      <c r="B4" s="13" t="s">
        <v>354</v>
      </c>
      <c r="C4" s="14" t="s">
        <v>355</v>
      </c>
    </row>
    <row r="5" customFormat="false" ht="15" hidden="false" customHeight="false" outlineLevel="0" collapsed="false">
      <c r="A5" s="12" t="s">
        <v>356</v>
      </c>
      <c r="B5" s="15" t="n">
        <f aca="false">IFERROR(INDEX(Packages!$B$5:$D$5,MATCH($B$4,Packages!$B$4:$D$4,0)),0)</f>
        <v>25000</v>
      </c>
    </row>
    <row r="6" customFormat="false" ht="15" hidden="false" customHeight="false" outlineLevel="0" collapsed="false">
      <c r="A6" s="12" t="s">
        <v>357</v>
      </c>
      <c r="B6" s="13" t="n">
        <v>12</v>
      </c>
    </row>
    <row r="8" customFormat="false" ht="30" hidden="false" customHeight="true" outlineLevel="0" collapsed="false">
      <c r="A8" s="3" t="s">
        <v>247</v>
      </c>
      <c r="B8" s="3" t="s">
        <v>248</v>
      </c>
      <c r="C8" s="3" t="s">
        <v>358</v>
      </c>
      <c r="D8" s="3" t="s">
        <v>250</v>
      </c>
      <c r="E8" s="3" t="s">
        <v>359</v>
      </c>
      <c r="F8" s="3" t="s">
        <v>360</v>
      </c>
    </row>
    <row r="9" customFormat="false" ht="15" hidden="false" customHeight="false" outlineLevel="0" collapsed="false">
      <c r="A9" s="6" t="str">
        <f aca="false">'Add-ons'!A5</f>
        <v>Recurring</v>
      </c>
      <c r="B9" s="6" t="str">
        <f aca="false">'Add-ons'!B5</f>
        <v>Additional 4 social posts</v>
      </c>
      <c r="C9" s="6" t="str">
        <f aca="false">'Add-ons'!C5</f>
        <v>DM-01</v>
      </c>
      <c r="D9" s="16" t="n">
        <f aca="false">'Add-ons'!D5</f>
        <v>3000</v>
      </c>
      <c r="E9" s="17" t="n">
        <v>1</v>
      </c>
      <c r="F9" s="18" t="n">
        <f aca="false">D9*E9</f>
        <v>3000</v>
      </c>
    </row>
    <row r="10" customFormat="false" ht="15" hidden="false" customHeight="false" outlineLevel="0" collapsed="false">
      <c r="A10" s="6" t="str">
        <f aca="false">'Add-ons'!A6</f>
        <v>Recurring</v>
      </c>
      <c r="B10" s="6" t="str">
        <f aca="false">'Add-ons'!B6</f>
        <v>Additional 2 reels or short videos</v>
      </c>
      <c r="C10" s="6" t="str">
        <f aca="false">'Add-ons'!C6</f>
        <v>FM-04, FM-24</v>
      </c>
      <c r="D10" s="16" t="n">
        <f aca="false">'Add-ons'!D6</f>
        <v>4000</v>
      </c>
      <c r="E10" s="17" t="n">
        <v>0</v>
      </c>
      <c r="F10" s="18" t="n">
        <f aca="false">D10*E10</f>
        <v>0</v>
      </c>
    </row>
    <row r="11" customFormat="false" ht="15" hidden="false" customHeight="false" outlineLevel="0" collapsed="false">
      <c r="A11" s="6" t="str">
        <f aca="false">'Add-ons'!A7</f>
        <v>Recurring</v>
      </c>
      <c r="B11" s="6" t="str">
        <f aca="false">'Add-ons'!B7</f>
        <v>Additional platform managed</v>
      </c>
      <c r="C11" s="6" t="str">
        <f aca="false">'Add-ons'!C7</f>
        <v>DM-01</v>
      </c>
      <c r="D11" s="16" t="n">
        <f aca="false">'Add-ons'!D7</f>
        <v>3000</v>
      </c>
      <c r="E11" s="17" t="n">
        <v>0</v>
      </c>
      <c r="F11" s="18" t="n">
        <f aca="false">D11*E11</f>
        <v>0</v>
      </c>
    </row>
    <row r="12" customFormat="false" ht="15" hidden="false" customHeight="false" outlineLevel="0" collapsed="false">
      <c r="A12" s="6" t="str">
        <f aca="false">'Add-ons'!A8</f>
        <v>Recurring</v>
      </c>
      <c r="B12" s="6" t="str">
        <f aca="false">'Add-ons'!B8</f>
        <v>Short-form video growth strategy (added to Gold)</v>
      </c>
      <c r="C12" s="6" t="str">
        <f aca="false">'Add-ons'!C8</f>
        <v>DM-06</v>
      </c>
      <c r="D12" s="16" t="n">
        <f aca="false">'Add-ons'!D8</f>
        <v>4000</v>
      </c>
      <c r="E12" s="17" t="n">
        <v>0</v>
      </c>
      <c r="F12" s="18" t="n">
        <f aca="false">D12*E12</f>
        <v>0</v>
      </c>
    </row>
    <row r="13" customFormat="false" ht="15" hidden="false" customHeight="false" outlineLevel="0" collapsed="false">
      <c r="A13" s="6" t="str">
        <f aca="false">'Add-ons'!A9</f>
        <v>Recurring</v>
      </c>
      <c r="B13" s="6" t="str">
        <f aca="false">'Add-ons'!B9</f>
        <v>WhatsApp broadcasts (added to Gold)</v>
      </c>
      <c r="C13" s="6" t="str">
        <f aca="false">'Add-ons'!C9</f>
        <v>DM-10</v>
      </c>
      <c r="D13" s="16" t="n">
        <f aca="false">'Add-ons'!D9</f>
        <v>3500</v>
      </c>
      <c r="E13" s="17" t="n">
        <v>0</v>
      </c>
      <c r="F13" s="18" t="n">
        <f aca="false">D13*E13</f>
        <v>0</v>
      </c>
    </row>
    <row r="14" customFormat="false" ht="15" hidden="false" customHeight="false" outlineLevel="0" collapsed="false">
      <c r="A14" s="6" t="str">
        <f aca="false">'Add-ons'!A10</f>
        <v>Recurring</v>
      </c>
      <c r="B14" s="6" t="str">
        <f aca="false">'Add-ons'!B10</f>
        <v>Extra email campaign beyond the monthly newsletter</v>
      </c>
      <c r="C14" s="6" t="str">
        <f aca="false">'Add-ons'!C10</f>
        <v>DM-07</v>
      </c>
      <c r="D14" s="16" t="n">
        <f aca="false">'Add-ons'!D10</f>
        <v>3500</v>
      </c>
      <c r="E14" s="17" t="n">
        <v>0</v>
      </c>
      <c r="F14" s="18" t="n">
        <f aca="false">D14*E14</f>
        <v>0</v>
      </c>
    </row>
    <row r="15" customFormat="false" ht="15" hidden="false" customHeight="false" outlineLevel="0" collapsed="false">
      <c r="A15" s="6" t="str">
        <f aca="false">'Add-ons'!A11</f>
        <v>Recurring</v>
      </c>
      <c r="B15" s="6" t="str">
        <f aca="false">'Add-ons'!B11</f>
        <v>Marketing automation upkeep</v>
      </c>
      <c r="C15" s="6" t="str">
        <f aca="false">'Add-ons'!C11</f>
        <v>DM-08</v>
      </c>
      <c r="D15" s="16" t="n">
        <f aca="false">'Add-ons'!D11</f>
        <v>4000</v>
      </c>
      <c r="E15" s="17" t="n">
        <v>0</v>
      </c>
      <c r="F15" s="18" t="n">
        <f aca="false">D15*E15</f>
        <v>0</v>
      </c>
    </row>
    <row r="16" customFormat="false" ht="15" hidden="false" customHeight="false" outlineLevel="0" collapsed="false">
      <c r="A16" s="6" t="str">
        <f aca="false">'Add-ons'!A12</f>
        <v>Recurring</v>
      </c>
      <c r="B16" s="6" t="str">
        <f aca="false">'Add-ons'!B12</f>
        <v>AI content system upkeep</v>
      </c>
      <c r="C16" s="6" t="str">
        <f aca="false">'Add-ons'!C12</f>
        <v>TP-12</v>
      </c>
      <c r="D16" s="16" t="n">
        <f aca="false">'Add-ons'!D12</f>
        <v>5000</v>
      </c>
      <c r="E16" s="17" t="n">
        <v>0</v>
      </c>
      <c r="F16" s="18" t="n">
        <f aca="false">D16*E16</f>
        <v>0</v>
      </c>
    </row>
    <row r="17" customFormat="false" ht="15" hidden="false" customHeight="false" outlineLevel="0" collapsed="false">
      <c r="A17" s="6" t="str">
        <f aca="false">'Add-ons'!A13</f>
        <v>Recurring</v>
      </c>
      <c r="B17" s="6" t="str">
        <f aca="false">'Add-ons'!B13</f>
        <v>Local volunteer and donor lead generation</v>
      </c>
      <c r="C17" s="6" t="str">
        <f aca="false">'Add-ons'!C13</f>
        <v>LG-14</v>
      </c>
      <c r="D17" s="16" t="n">
        <f aca="false">'Add-ons'!D13</f>
        <v>8000</v>
      </c>
      <c r="E17" s="17" t="n">
        <v>0</v>
      </c>
      <c r="F17" s="18" t="n">
        <f aca="false">D17*E17</f>
        <v>0</v>
      </c>
    </row>
    <row r="18" customFormat="false" ht="15" hidden="false" customHeight="false" outlineLevel="0" collapsed="false">
      <c r="A18" s="6" t="str">
        <f aca="false">'Add-ons'!A14</f>
        <v>Recurring</v>
      </c>
      <c r="B18" s="6" t="str">
        <f aca="false">'Add-ons'!B14</f>
        <v>Google Ad Grant management</v>
      </c>
      <c r="C18" s="6" t="str">
        <f aca="false">'Add-ons'!C14</f>
        <v>AD-01</v>
      </c>
      <c r="D18" s="16" t="n">
        <f aca="false">'Add-ons'!D14</f>
        <v>12000</v>
      </c>
      <c r="E18" s="17" t="n">
        <v>0</v>
      </c>
      <c r="F18" s="18" t="n">
        <f aca="false">D18*E18</f>
        <v>0</v>
      </c>
    </row>
    <row r="19" customFormat="false" ht="15" hidden="false" customHeight="false" outlineLevel="0" collapsed="false">
      <c r="A19" s="6" t="str">
        <f aca="false">'Add-ons'!A15</f>
        <v>Recurring</v>
      </c>
      <c r="B19" s="6" t="str">
        <f aca="false">'Add-ons'!B15</f>
        <v>Meta Ads management</v>
      </c>
      <c r="C19" s="6" t="str">
        <f aca="false">'Add-ons'!C15</f>
        <v>AD-03</v>
      </c>
      <c r="D19" s="16" t="n">
        <f aca="false">'Add-ons'!D15</f>
        <v>10000</v>
      </c>
      <c r="E19" s="17" t="n">
        <v>0</v>
      </c>
      <c r="F19" s="18" t="n">
        <f aca="false">D19*E19</f>
        <v>0</v>
      </c>
    </row>
    <row r="20" customFormat="false" ht="15" hidden="false" customHeight="false" outlineLevel="0" collapsed="false">
      <c r="A20" s="6" t="str">
        <f aca="false">'Add-ons'!A16</f>
        <v>Recurring</v>
      </c>
      <c r="B20" s="6" t="str">
        <f aca="false">'Add-ons'!B16</f>
        <v>Fractional CMO and growth advisory, 8 hours</v>
      </c>
      <c r="C20" s="6" t="str">
        <f aca="false">'Add-ons'!C16</f>
        <v>AV-06</v>
      </c>
      <c r="D20" s="16" t="n">
        <f aca="false">'Add-ons'!D16</f>
        <v>25000</v>
      </c>
      <c r="E20" s="17" t="n">
        <v>0</v>
      </c>
      <c r="F20" s="18" t="n">
        <f aca="false">D20*E20</f>
        <v>0</v>
      </c>
    </row>
    <row r="21" customFormat="false" ht="15" hidden="false" customHeight="false" outlineLevel="0" collapsed="false">
      <c r="A21" s="6" t="str">
        <f aca="false">'Add-ons'!A17</f>
        <v>Recurring</v>
      </c>
      <c r="B21" s="6" t="str">
        <f aca="false">'Add-ons'!B17</f>
        <v>Additional revision round</v>
      </c>
      <c r="C21" s="6" t="str">
        <f aca="false">'Add-ons'!C17</f>
        <v>—</v>
      </c>
      <c r="D21" s="16" t="n">
        <f aca="false">'Add-ons'!D17</f>
        <v>2000</v>
      </c>
      <c r="E21" s="17" t="n">
        <v>0</v>
      </c>
      <c r="F21" s="18" t="n">
        <f aca="false">D21*E21</f>
        <v>0</v>
      </c>
    </row>
    <row r="22" customFormat="false" ht="15" hidden="false" customHeight="false" outlineLevel="0" collapsed="false">
      <c r="A22" s="6" t="str">
        <f aca="false">'Add-ons'!A18</f>
        <v>Recurring</v>
      </c>
      <c r="B22" s="6" t="str">
        <f aca="false">'Add-ons'!B18</f>
        <v>Additional strategy meeting</v>
      </c>
      <c r="C22" s="6" t="str">
        <f aca="false">'Add-ons'!C18</f>
        <v>—</v>
      </c>
      <c r="D22" s="16" t="n">
        <f aca="false">'Add-ons'!D18</f>
        <v>1500</v>
      </c>
      <c r="E22" s="17" t="n">
        <v>0</v>
      </c>
      <c r="F22" s="18" t="n">
        <f aca="false">D22*E22</f>
        <v>0</v>
      </c>
    </row>
    <row r="23" customFormat="false" ht="15" hidden="false" customHeight="false" outlineLevel="0" collapsed="false">
      <c r="A23" s="6" t="str">
        <f aca="false">'Add-ons'!A19</f>
        <v>Setup</v>
      </c>
      <c r="B23" s="6" t="str">
        <f aca="false">'Add-ons'!B19</f>
        <v>Social media design system (required before Platinum)</v>
      </c>
      <c r="C23" s="6" t="str">
        <f aca="false">'Add-ons'!C19</f>
        <v>BR-17</v>
      </c>
      <c r="D23" s="16" t="n">
        <f aca="false">'Add-ons'!D19</f>
        <v>32000</v>
      </c>
      <c r="E23" s="17" t="n">
        <v>0</v>
      </c>
      <c r="F23" s="18" t="n">
        <f aca="false">D23*E23</f>
        <v>0</v>
      </c>
    </row>
    <row r="24" customFormat="false" ht="15" hidden="false" customHeight="false" outlineLevel="0" collapsed="false">
      <c r="A24" s="6" t="str">
        <f aca="false">'Add-ons'!A20</f>
        <v>Setup</v>
      </c>
      <c r="B24" s="6" t="str">
        <f aca="false">'Add-ons'!B20</f>
        <v>Logo design</v>
      </c>
      <c r="C24" s="6" t="str">
        <f aca="false">'Add-ons'!C20</f>
        <v>BR-03</v>
      </c>
      <c r="D24" s="16" t="n">
        <f aca="false">'Add-ons'!D20</f>
        <v>25000</v>
      </c>
      <c r="E24" s="17" t="n">
        <v>0</v>
      </c>
      <c r="F24" s="18" t="n">
        <f aca="false">D24*E24</f>
        <v>0</v>
      </c>
    </row>
    <row r="25" customFormat="false" ht="15" hidden="false" customHeight="false" outlineLevel="0" collapsed="false">
      <c r="A25" s="6" t="str">
        <f aca="false">'Add-ons'!A21</f>
        <v>Setup</v>
      </c>
      <c r="B25" s="6" t="str">
        <f aca="false">'Add-ons'!B21</f>
        <v>Brand story and message house</v>
      </c>
      <c r="C25" s="6" t="str">
        <f aca="false">'Add-ons'!C21</f>
        <v>BR-11</v>
      </c>
      <c r="D25" s="16" t="n">
        <f aca="false">'Add-ons'!D21</f>
        <v>30000</v>
      </c>
      <c r="E25" s="17" t="n">
        <v>0</v>
      </c>
      <c r="F25" s="18" t="n">
        <f aca="false">D25*E25</f>
        <v>0</v>
      </c>
    </row>
    <row r="26" customFormat="false" ht="15" hidden="false" customHeight="false" outlineLevel="0" collapsed="false">
      <c r="A26" s="6" t="str">
        <f aca="false">'Add-ons'!A22</f>
        <v>Setup</v>
      </c>
      <c r="B26" s="6" t="str">
        <f aca="false">'Add-ons'!B22</f>
        <v>Analytics and conversion tracking setup</v>
      </c>
      <c r="C26" s="6" t="str">
        <f aca="false">'Add-ons'!C22</f>
        <v>AN-01, AN-02</v>
      </c>
      <c r="D26" s="16" t="n">
        <f aca="false">'Add-ons'!D22</f>
        <v>22000</v>
      </c>
      <c r="E26" s="17" t="n">
        <v>0</v>
      </c>
      <c r="F26" s="18" t="n">
        <f aca="false">D26*E26</f>
        <v>0</v>
      </c>
    </row>
    <row r="27" customFormat="false" ht="15" hidden="false" customHeight="false" outlineLevel="0" collapsed="false">
      <c r="A27" s="6" t="str">
        <f aca="false">'Add-ons'!A23</f>
        <v>Setup</v>
      </c>
      <c r="B27" s="6" t="str">
        <f aca="false">'Add-ons'!B23</f>
        <v>Live dashboard build</v>
      </c>
      <c r="C27" s="6" t="str">
        <f aca="false">'Add-ons'!C23</f>
        <v>AN-03</v>
      </c>
      <c r="D27" s="16" t="n">
        <f aca="false">'Add-ons'!D23</f>
        <v>12000</v>
      </c>
      <c r="E27" s="17" t="n">
        <v>0</v>
      </c>
      <c r="F27" s="18" t="n">
        <f aca="false">D27*E27</f>
        <v>0</v>
      </c>
    </row>
    <row r="28" customFormat="false" ht="15" hidden="false" customHeight="false" outlineLevel="0" collapsed="false">
      <c r="A28" s="6" t="str">
        <f aca="false">'Add-ons'!A24</f>
        <v>Setup</v>
      </c>
      <c r="B28" s="6" t="str">
        <f aca="false">'Add-ons'!B24</f>
        <v>SEO audit and strategy</v>
      </c>
      <c r="C28" s="6" t="str">
        <f aca="false">'Add-ons'!C24</f>
        <v>SEO-01</v>
      </c>
      <c r="D28" s="16" t="n">
        <f aca="false">'Add-ons'!D24</f>
        <v>18000</v>
      </c>
      <c r="E28" s="17" t="n">
        <v>0</v>
      </c>
      <c r="F28" s="18" t="n">
        <f aca="false">D28*E28</f>
        <v>0</v>
      </c>
    </row>
    <row r="29" customFormat="false" ht="15" hidden="false" customHeight="false" outlineLevel="0" collapsed="false">
      <c r="A29" s="6" t="str">
        <f aca="false">'Add-ons'!A25</f>
        <v>Setup</v>
      </c>
      <c r="B29" s="6" t="str">
        <f aca="false">'Add-ons'!B25</f>
        <v>Marketing automation build</v>
      </c>
      <c r="C29" s="6" t="str">
        <f aca="false">'Add-ons'!C25</f>
        <v>DM-08</v>
      </c>
      <c r="D29" s="16" t="n">
        <f aca="false">'Add-ons'!D25</f>
        <v>20000</v>
      </c>
      <c r="E29" s="17" t="n">
        <v>0</v>
      </c>
      <c r="F29" s="18" t="n">
        <f aca="false">D29*E29</f>
        <v>0</v>
      </c>
    </row>
    <row r="30" customFormat="false" ht="15" hidden="false" customHeight="false" outlineLevel="0" collapsed="false">
      <c r="A30" s="6" t="str">
        <f aca="false">'Add-ons'!A26</f>
        <v>Setup</v>
      </c>
      <c r="B30" s="6" t="str">
        <f aca="false">'Add-ons'!B26</f>
        <v>Donor thank-you and re-ask sequence</v>
      </c>
      <c r="C30" s="6" t="str">
        <f aca="false">'Add-ons'!C26</f>
        <v>DM-15</v>
      </c>
      <c r="D30" s="16" t="n">
        <f aca="false">'Add-ons'!D26</f>
        <v>18000</v>
      </c>
      <c r="E30" s="17" t="n">
        <v>0</v>
      </c>
      <c r="F30" s="18" t="n">
        <f aca="false">D30*E30</f>
        <v>0</v>
      </c>
    </row>
    <row r="31" customFormat="false" ht="15" hidden="false" customHeight="false" outlineLevel="0" collapsed="false">
      <c r="A31" s="6" t="str">
        <f aca="false">'Add-ons'!A27</f>
        <v>Setup</v>
      </c>
      <c r="B31" s="6" t="str">
        <f aca="false">'Add-ons'!B27</f>
        <v>AI content system setup</v>
      </c>
      <c r="C31" s="6" t="str">
        <f aca="false">'Add-ons'!C27</f>
        <v>TP-12</v>
      </c>
      <c r="D31" s="16" t="n">
        <f aca="false">'Add-ons'!D27</f>
        <v>25000</v>
      </c>
      <c r="E31" s="17" t="n">
        <v>0</v>
      </c>
      <c r="F31" s="18" t="n">
        <f aca="false">D31*E31</f>
        <v>0</v>
      </c>
    </row>
    <row r="32" customFormat="false" ht="15" hidden="false" customHeight="false" outlineLevel="0" collapsed="false">
      <c r="A32" s="6" t="str">
        <f aca="false">'Add-ons'!A28</f>
        <v>Setup</v>
      </c>
      <c r="B32" s="6" t="str">
        <f aca="false">'Add-ons'!B28</f>
        <v>Google Ad Grant eligibility check and account setup</v>
      </c>
      <c r="C32" s="6" t="str">
        <f aca="false">'Add-ons'!C28</f>
        <v>AD-01</v>
      </c>
      <c r="D32" s="16" t="n">
        <f aca="false">'Add-ons'!D28</f>
        <v>15000</v>
      </c>
      <c r="E32" s="17" t="n">
        <v>0</v>
      </c>
      <c r="F32" s="18" t="n">
        <f aca="false">D32*E32</f>
        <v>0</v>
      </c>
    </row>
    <row r="33" customFormat="false" ht="15" hidden="false" customHeight="false" outlineLevel="0" collapsed="false">
      <c r="A33" s="6" t="str">
        <f aca="false">'Add-ons'!A29</f>
        <v>Setup</v>
      </c>
      <c r="B33" s="6" t="str">
        <f aca="false">'Add-ons'!B29</f>
        <v>Lead magnet, per asset</v>
      </c>
      <c r="C33" s="6" t="str">
        <f aca="false">'Add-ons'!C29</f>
        <v>LG-08</v>
      </c>
      <c r="D33" s="16" t="n">
        <f aca="false">'Add-ons'!D29</f>
        <v>12000</v>
      </c>
      <c r="E33" s="17" t="n">
        <v>0</v>
      </c>
      <c r="F33" s="18" t="n">
        <f aca="false">D33*E33</f>
        <v>0</v>
      </c>
    </row>
    <row r="34" customFormat="false" ht="15" hidden="false" customHeight="false" outlineLevel="0" collapsed="false">
      <c r="A34" s="6" t="str">
        <f aca="false">'Add-ons'!A30</f>
        <v>Setup</v>
      </c>
      <c r="B34" s="6" t="str">
        <f aca="false">'Add-ons'!B30</f>
        <v>Marketing technology consulting</v>
      </c>
      <c r="C34" s="6" t="str">
        <f aca="false">'Add-ons'!C30</f>
        <v>AV-03</v>
      </c>
      <c r="D34" s="16" t="n">
        <f aca="false">'Add-ons'!D30</f>
        <v>20000</v>
      </c>
      <c r="E34" s="17" t="n">
        <v>0</v>
      </c>
      <c r="F34" s="18" t="n">
        <f aca="false">D34*E34</f>
        <v>0</v>
      </c>
    </row>
    <row r="35" customFormat="false" ht="15" hidden="false" customHeight="false" outlineLevel="0" collapsed="false">
      <c r="A35" s="6" t="str">
        <f aca="false">'Add-ons'!A31</f>
        <v>Setup</v>
      </c>
      <c r="B35" s="6" t="str">
        <f aca="false">'Add-ons'!B31</f>
        <v>Staff social media training, half day</v>
      </c>
      <c r="C35" s="6" t="str">
        <f aca="false">'Add-ons'!C31</f>
        <v>AV-04</v>
      </c>
      <c r="D35" s="16" t="n">
        <f aca="false">'Add-ons'!D31</f>
        <v>15000</v>
      </c>
      <c r="E35" s="17" t="n">
        <v>0</v>
      </c>
      <c r="F35" s="18" t="n">
        <f aca="false">D35*E35</f>
        <v>0</v>
      </c>
    </row>
    <row r="36" customFormat="false" ht="15" hidden="false" customHeight="false" outlineLevel="0" collapsed="false">
      <c r="A36" s="6" t="str">
        <f aca="false">'Add-ons'!A32</f>
        <v>Project</v>
      </c>
      <c r="B36" s="6" t="str">
        <f aca="false">'Add-ons'!B32</f>
        <v>Donate or volunteer page rebuild</v>
      </c>
      <c r="C36" s="6" t="str">
        <f aca="false">'Add-ons'!C32</f>
        <v>LG-06</v>
      </c>
      <c r="D36" s="16" t="n">
        <f aca="false">'Add-ons'!D32</f>
        <v>35000</v>
      </c>
      <c r="E36" s="17" t="n">
        <v>0</v>
      </c>
      <c r="F36" s="18" t="n">
        <f aca="false">D36*E36</f>
        <v>0</v>
      </c>
    </row>
    <row r="37" customFormat="false" ht="15" hidden="false" customHeight="false" outlineLevel="0" collapsed="false">
      <c r="A37" s="6" t="str">
        <f aca="false">'Add-ons'!A33</f>
        <v>Project</v>
      </c>
      <c r="B37" s="6" t="str">
        <f aca="false">'Add-ons'!B33</f>
        <v>UI/UX design, up to 8 screens</v>
      </c>
      <c r="C37" s="6" t="str">
        <f aca="false">'Add-ons'!C33</f>
        <v>TP-01</v>
      </c>
      <c r="D37" s="16" t="n">
        <f aca="false">'Add-ons'!D33</f>
        <v>45000</v>
      </c>
      <c r="E37" s="17" t="n">
        <v>0</v>
      </c>
      <c r="F37" s="18" t="n">
        <f aca="false">D37*E37</f>
        <v>0</v>
      </c>
    </row>
    <row r="38" customFormat="false" ht="15" hidden="false" customHeight="false" outlineLevel="0" collapsed="false">
      <c r="A38" s="6" t="str">
        <f aca="false">'Add-ons'!A34</f>
        <v>Project</v>
      </c>
      <c r="B38" s="6" t="str">
        <f aca="false">'Add-ons'!B34</f>
        <v>Website build, up to 8 pages</v>
      </c>
      <c r="C38" s="6" t="str">
        <f aca="false">'Add-ons'!C34</f>
        <v>TP-02</v>
      </c>
      <c r="D38" s="16" t="n">
        <f aca="false">'Add-ons'!D34</f>
        <v>85000</v>
      </c>
      <c r="E38" s="17" t="n">
        <v>0</v>
      </c>
      <c r="F38" s="18" t="n">
        <f aca="false">D38*E38</f>
        <v>0</v>
      </c>
    </row>
    <row r="39" customFormat="false" ht="15" hidden="false" customHeight="false" outlineLevel="0" collapsed="false">
      <c r="A39" s="6" t="str">
        <f aca="false">'Add-ons'!A35</f>
        <v>Project</v>
      </c>
      <c r="B39" s="6" t="str">
        <f aca="false">'Add-ons'!B35</f>
        <v>Donation funnel engineering</v>
      </c>
      <c r="C39" s="6" t="str">
        <f aca="false">'Add-ons'!C35</f>
        <v>TP-08</v>
      </c>
      <c r="D39" s="16" t="n">
        <f aca="false">'Add-ons'!D35</f>
        <v>40000</v>
      </c>
      <c r="E39" s="17" t="n">
        <v>0</v>
      </c>
      <c r="F39" s="18" t="n">
        <f aca="false">D39*E39</f>
        <v>0</v>
      </c>
    </row>
    <row r="40" customFormat="false" ht="15" hidden="false" customHeight="false" outlineLevel="0" collapsed="false">
      <c r="A40" s="6" t="str">
        <f aca="false">'Add-ons'!A36</f>
        <v>Project</v>
      </c>
      <c r="B40" s="6" t="str">
        <f aca="false">'Add-ons'!B36</f>
        <v>AI chatbot or assistant</v>
      </c>
      <c r="C40" s="6" t="str">
        <f aca="false">'Add-ons'!C36</f>
        <v>TP-06</v>
      </c>
      <c r="D40" s="16" t="n">
        <f aca="false">'Add-ons'!D36</f>
        <v>35000</v>
      </c>
      <c r="E40" s="17" t="n">
        <v>0</v>
      </c>
      <c r="F40" s="18" t="n">
        <f aca="false">D40*E40</f>
        <v>0</v>
      </c>
    </row>
    <row r="41" customFormat="false" ht="15" hidden="false" customHeight="false" outlineLevel="0" collapsed="false">
      <c r="A41" s="6" t="str">
        <f aca="false">'Add-ons'!A37</f>
        <v>Project</v>
      </c>
      <c r="B41" s="6" t="str">
        <f aca="false">'Add-ons'!B37</f>
        <v>AI automation and agents</v>
      </c>
      <c r="C41" s="6" t="str">
        <f aca="false">'Add-ons'!C37</f>
        <v>TP-05</v>
      </c>
      <c r="D41" s="16" t="n">
        <f aca="false">'Add-ons'!D37</f>
        <v>50000</v>
      </c>
      <c r="E41" s="17" t="n">
        <v>0</v>
      </c>
      <c r="F41" s="18" t="n">
        <f aca="false">D41*E41</f>
        <v>0</v>
      </c>
    </row>
    <row r="42" customFormat="false" ht="15" hidden="false" customHeight="false" outlineLevel="0" collapsed="false">
      <c r="A42" s="6" t="str">
        <f aca="false">'Add-ons'!A38</f>
        <v>Project</v>
      </c>
      <c r="B42" s="6" t="str">
        <f aca="false">'Add-ons'!B38</f>
        <v>Mobile app development</v>
      </c>
      <c r="C42" s="6" t="str">
        <f aca="false">'Add-ons'!C38</f>
        <v>TP-03</v>
      </c>
      <c r="D42" s="16" t="n">
        <f aca="false">'Add-ons'!D38</f>
        <v>250000</v>
      </c>
      <c r="E42" s="17" t="n">
        <v>0</v>
      </c>
      <c r="F42" s="18" t="n">
        <f aca="false">D42*E42</f>
        <v>0</v>
      </c>
    </row>
    <row r="43" customFormat="false" ht="15" hidden="false" customHeight="false" outlineLevel="0" collapsed="false">
      <c r="A43" s="6" t="str">
        <f aca="false">'Add-ons'!A39</f>
        <v>Project</v>
      </c>
      <c r="B43" s="6" t="str">
        <f aca="false">'Add-ons'!B39</f>
        <v>Testimonial or case-study film</v>
      </c>
      <c r="C43" s="6" t="str">
        <f aca="false">'Add-ons'!C39</f>
        <v>FM-15</v>
      </c>
      <c r="D43" s="16" t="n">
        <f aca="false">'Add-ons'!D39</f>
        <v>30000</v>
      </c>
      <c r="E43" s="17" t="n">
        <v>0</v>
      </c>
      <c r="F43" s="18" t="n">
        <f aca="false">D43*E43</f>
        <v>0</v>
      </c>
    </row>
    <row r="44" customFormat="false" ht="15" hidden="false" customHeight="false" outlineLevel="0" collapsed="false">
      <c r="A44" s="6" t="str">
        <f aca="false">'Add-ons'!A40</f>
        <v>Project</v>
      </c>
      <c r="B44" s="6" t="str">
        <f aca="false">'Add-ons'!B40</f>
        <v>Explainer or motion-graphics video, up to 60s</v>
      </c>
      <c r="C44" s="6" t="str">
        <f aca="false">'Add-ons'!C40</f>
        <v>FM-16</v>
      </c>
      <c r="D44" s="16" t="n">
        <f aca="false">'Add-ons'!D40</f>
        <v>25000</v>
      </c>
      <c r="E44" s="17" t="n">
        <v>0</v>
      </c>
      <c r="F44" s="18" t="n">
        <f aca="false">D44*E44</f>
        <v>0</v>
      </c>
    </row>
    <row r="45" customFormat="false" ht="15" hidden="false" customHeight="false" outlineLevel="0" collapsed="false">
      <c r="A45" s="6" t="str">
        <f aca="false">'Add-ons'!A41</f>
        <v>Project</v>
      </c>
      <c r="B45" s="6" t="str">
        <f aca="false">'Add-ons'!B41</f>
        <v>Drone and aerial cinematography</v>
      </c>
      <c r="C45" s="6" t="str">
        <f aca="false">'Add-ons'!C41</f>
        <v>FM-13</v>
      </c>
      <c r="D45" s="16" t="n">
        <f aca="false">'Add-ons'!D41</f>
        <v>18000</v>
      </c>
      <c r="E45" s="17" t="n">
        <v>0</v>
      </c>
      <c r="F45" s="18" t="n">
        <f aca="false">D45*E45</f>
        <v>0</v>
      </c>
    </row>
    <row r="46" customFormat="false" ht="15" hidden="false" customHeight="false" outlineLevel="0" collapsed="false">
      <c r="A46" s="6" t="str">
        <f aca="false">'Add-ons'!A42</f>
        <v>Project</v>
      </c>
      <c r="B46" s="6" t="str">
        <f aca="false">'Add-ons'!B42</f>
        <v>Event coverage</v>
      </c>
      <c r="C46" s="6" t="str">
        <f aca="false">'Add-ons'!C42</f>
        <v>FM-12</v>
      </c>
      <c r="D46" s="16" t="n">
        <f aca="false">'Add-ons'!D42</f>
        <v>20000</v>
      </c>
      <c r="E46" s="17" t="n">
        <v>0</v>
      </c>
      <c r="F46" s="18" t="n">
        <f aca="false">D46*E46</f>
        <v>0</v>
      </c>
    </row>
    <row r="47" customFormat="false" ht="15" hidden="false" customHeight="false" outlineLevel="0" collapsed="false">
      <c r="A47" s="6" t="str">
        <f aca="false">'Add-ons'!A43</f>
        <v>Project</v>
      </c>
      <c r="B47" s="6" t="str">
        <f aca="false">'Add-ons'!B43</f>
        <v>Annual impact report design</v>
      </c>
      <c r="C47" s="6" t="str">
        <f aca="false">'Add-ons'!C43</f>
        <v>BR-23</v>
      </c>
      <c r="D47" s="16" t="n">
        <f aca="false">'Add-ons'!D43</f>
        <v>60000</v>
      </c>
      <c r="E47" s="17" t="n">
        <v>0</v>
      </c>
      <c r="F47" s="18" t="n">
        <f aca="false">D47*E47</f>
        <v>0</v>
      </c>
    </row>
    <row r="48" customFormat="false" ht="15" hidden="false" customHeight="false" outlineLevel="0" collapsed="false">
      <c r="A48" s="6" t="str">
        <f aca="false">'Add-ons'!A44</f>
        <v>Project</v>
      </c>
      <c r="B48" s="6" t="str">
        <f aca="false">'Add-ons'!B44</f>
        <v>Press release written and distributed</v>
      </c>
      <c r="C48" s="6" t="str">
        <f aca="false">'Add-ons'!C44</f>
        <v>PR-02</v>
      </c>
      <c r="D48" s="16" t="n">
        <f aca="false">'Add-ons'!D44</f>
        <v>10000</v>
      </c>
      <c r="E48" s="17" t="n">
        <v>0</v>
      </c>
      <c r="F48" s="18" t="n">
        <f aca="false">D48*E48</f>
        <v>0</v>
      </c>
    </row>
    <row r="50" customFormat="false" ht="15" hidden="false" customHeight="false" outlineLevel="0" collapsed="false">
      <c r="A50" s="19" t="s">
        <v>361</v>
      </c>
      <c r="B50" s="19"/>
      <c r="C50" s="19"/>
      <c r="D50" s="19"/>
      <c r="E50" s="19"/>
      <c r="F50" s="20" t="n">
        <f aca="false">SUMIFS($F$9:$F$48,$A$9:$A$48,"Recurring")</f>
        <v>3000</v>
      </c>
    </row>
    <row r="51" customFormat="false" ht="15" hidden="false" customHeight="false" outlineLevel="0" collapsed="false">
      <c r="A51" s="21" t="s">
        <v>362</v>
      </c>
      <c r="B51" s="21"/>
      <c r="C51" s="21"/>
      <c r="D51" s="21"/>
      <c r="E51" s="21"/>
      <c r="F51" s="22" t="n">
        <f aca="false">SUMIFS($F$9:$F$48,$A$9:$A$48,"Setup")</f>
        <v>0</v>
      </c>
    </row>
    <row r="52" customFormat="false" ht="15" hidden="false" customHeight="false" outlineLevel="0" collapsed="false">
      <c r="A52" s="21" t="s">
        <v>363</v>
      </c>
      <c r="B52" s="21"/>
      <c r="C52" s="21"/>
      <c r="D52" s="21"/>
      <c r="E52" s="21"/>
      <c r="F52" s="22" t="n">
        <f aca="false">SUMIFS($F$9:$F$48,$A$9:$A$48,"Project")</f>
        <v>0</v>
      </c>
    </row>
    <row r="53" customFormat="false" ht="15" hidden="false" customHeight="false" outlineLevel="0" collapsed="false">
      <c r="A53" s="19" t="s">
        <v>364</v>
      </c>
      <c r="B53" s="19"/>
      <c r="C53" s="19"/>
      <c r="D53" s="19"/>
      <c r="E53" s="19"/>
      <c r="F53" s="20" t="n">
        <f aca="false">$B$5+F50+F51+F52</f>
        <v>28000</v>
      </c>
    </row>
    <row r="54" customFormat="false" ht="15" hidden="false" customHeight="false" outlineLevel="0" collapsed="false">
      <c r="A54" s="21" t="s">
        <v>365</v>
      </c>
      <c r="B54" s="21"/>
      <c r="C54" s="21"/>
      <c r="D54" s="21"/>
      <c r="E54" s="21"/>
      <c r="F54" s="22" t="n">
        <f aca="false">$B$5+F50</f>
        <v>28000</v>
      </c>
    </row>
    <row r="55" customFormat="false" ht="15" hidden="false" customHeight="false" outlineLevel="0" collapsed="false">
      <c r="A55" s="19" t="s">
        <v>366</v>
      </c>
      <c r="B55" s="19"/>
      <c r="C55" s="19"/>
      <c r="D55" s="19"/>
      <c r="E55" s="19"/>
      <c r="F55" s="20" t="n">
        <f aca="false">($B$5+F50)*$B$6+F51+F52</f>
        <v>336000</v>
      </c>
    </row>
    <row r="57" customFormat="false" ht="15" hidden="false" customHeight="false" outlineLevel="0" collapsed="false">
      <c r="A57" s="2" t="s">
        <v>367</v>
      </c>
      <c r="B57" s="2"/>
      <c r="C57" s="2"/>
      <c r="D57" s="2"/>
      <c r="E57" s="2"/>
      <c r="F57" s="2"/>
    </row>
  </sheetData>
  <mergeCells count="9">
    <mergeCell ref="A1:F1"/>
    <mergeCell ref="A2:F2"/>
    <mergeCell ref="A50:E50"/>
    <mergeCell ref="A51:E51"/>
    <mergeCell ref="A52:E52"/>
    <mergeCell ref="A53:E53"/>
    <mergeCell ref="A54:E54"/>
    <mergeCell ref="A55:E55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368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369</v>
      </c>
      <c r="B2" s="2"/>
      <c r="C2" s="2"/>
      <c r="D2" s="2"/>
      <c r="E2" s="2"/>
    </row>
    <row r="4" customFormat="false" ht="15" hidden="false" customHeight="false" outlineLevel="0" collapsed="false">
      <c r="A4" s="12" t="s">
        <v>370</v>
      </c>
    </row>
    <row r="5" customFormat="false" ht="15" hidden="false" customHeight="false" outlineLevel="0" collapsed="false">
      <c r="A5" s="23" t="s">
        <v>371</v>
      </c>
      <c r="B5" s="24" t="n">
        <v>350</v>
      </c>
      <c r="C5" s="14" t="s">
        <v>372</v>
      </c>
    </row>
    <row r="6" customFormat="false" ht="15" hidden="false" customHeight="false" outlineLevel="0" collapsed="false">
      <c r="A6" s="23" t="s">
        <v>373</v>
      </c>
      <c r="B6" s="25" t="n">
        <v>120</v>
      </c>
    </row>
    <row r="7" customFormat="false" ht="15" hidden="false" customHeight="false" outlineLevel="0" collapsed="false">
      <c r="A7" s="23" t="s">
        <v>374</v>
      </c>
      <c r="B7" s="26" t="n">
        <v>0.1</v>
      </c>
    </row>
    <row r="8" customFormat="false" ht="15" hidden="false" customHeight="false" outlineLevel="0" collapsed="false">
      <c r="A8" s="23" t="s">
        <v>375</v>
      </c>
      <c r="B8" s="24" t="n">
        <v>120000</v>
      </c>
    </row>
    <row r="11" customFormat="false" ht="30" hidden="false" customHeight="true" outlineLevel="0" collapsed="false">
      <c r="A11" s="3" t="s">
        <v>376</v>
      </c>
      <c r="B11" s="3" t="s">
        <v>377</v>
      </c>
      <c r="C11" s="3" t="s">
        <v>354</v>
      </c>
      <c r="D11" s="3" t="s">
        <v>378</v>
      </c>
      <c r="E11" s="3" t="s">
        <v>379</v>
      </c>
    </row>
    <row r="12" customFormat="false" ht="15" hidden="false" customHeight="false" outlineLevel="0" collapsed="false">
      <c r="A12" s="23" t="s">
        <v>380</v>
      </c>
      <c r="B12" s="11" t="n">
        <v>40000</v>
      </c>
      <c r="C12" s="11" t="n">
        <v>25000</v>
      </c>
      <c r="D12" s="11" t="n">
        <v>15000</v>
      </c>
      <c r="E12" s="14" t="s">
        <v>381</v>
      </c>
    </row>
    <row r="13" customFormat="false" ht="15" hidden="false" customHeight="false" outlineLevel="0" collapsed="false">
      <c r="A13" s="23" t="s">
        <v>382</v>
      </c>
      <c r="B13" s="27" t="n">
        <v>3.5</v>
      </c>
      <c r="C13" s="27" t="n">
        <v>2.5</v>
      </c>
      <c r="D13" s="27" t="n">
        <v>1.25</v>
      </c>
      <c r="E13" s="14" t="s">
        <v>383</v>
      </c>
    </row>
    <row r="14" customFormat="false" ht="15" hidden="false" customHeight="false" outlineLevel="0" collapsed="false">
      <c r="A14" s="23" t="s">
        <v>384</v>
      </c>
      <c r="B14" s="27" t="n">
        <v>20.5</v>
      </c>
      <c r="C14" s="27" t="n">
        <v>12.3</v>
      </c>
      <c r="D14" s="27" t="n">
        <v>4.2</v>
      </c>
      <c r="E14" s="14" t="s">
        <v>383</v>
      </c>
    </row>
    <row r="15" customFormat="false" ht="15" hidden="false" customHeight="false" outlineLevel="0" collapsed="false">
      <c r="A15" s="23" t="s">
        <v>385</v>
      </c>
      <c r="B15" s="27" t="n">
        <v>7.5</v>
      </c>
      <c r="C15" s="27" t="n">
        <v>3.25</v>
      </c>
      <c r="D15" s="27" t="n">
        <v>0.75</v>
      </c>
      <c r="E15" s="14" t="s">
        <v>383</v>
      </c>
    </row>
    <row r="16" customFormat="false" ht="15" hidden="false" customHeight="false" outlineLevel="0" collapsed="false">
      <c r="A16" s="23" t="s">
        <v>386</v>
      </c>
      <c r="B16" s="27" t="n">
        <v>4.25</v>
      </c>
      <c r="C16" s="27" t="n">
        <v>2.75</v>
      </c>
      <c r="D16" s="27" t="n">
        <v>2</v>
      </c>
      <c r="E16" s="14" t="s">
        <v>383</v>
      </c>
    </row>
    <row r="17" customFormat="false" ht="15" hidden="false" customHeight="false" outlineLevel="0" collapsed="false">
      <c r="A17" s="23" t="s">
        <v>387</v>
      </c>
      <c r="B17" s="27" t="n">
        <v>2.5</v>
      </c>
      <c r="C17" s="27" t="n">
        <v>2</v>
      </c>
      <c r="D17" s="27" t="n">
        <v>1.25</v>
      </c>
      <c r="E17" s="14" t="s">
        <v>383</v>
      </c>
    </row>
    <row r="18" customFormat="false" ht="15" hidden="false" customHeight="false" outlineLevel="0" collapsed="false">
      <c r="A18" s="23" t="s">
        <v>388</v>
      </c>
      <c r="B18" s="11" t="n">
        <v>600</v>
      </c>
      <c r="C18" s="11" t="n">
        <v>500</v>
      </c>
      <c r="D18" s="11" t="n">
        <v>350</v>
      </c>
      <c r="E18" s="14" t="s">
        <v>389</v>
      </c>
    </row>
    <row r="19" customFormat="false" ht="15" hidden="false" customHeight="false" outlineLevel="0" collapsed="false">
      <c r="A19" s="12" t="s">
        <v>390</v>
      </c>
      <c r="B19" s="28" t="n">
        <f aca="false">SUM(B13:B17)</f>
        <v>38.25</v>
      </c>
      <c r="C19" s="28" t="n">
        <f aca="false">SUM(C13:C17)</f>
        <v>22.8</v>
      </c>
      <c r="D19" s="28" t="n">
        <f aca="false">SUM(D13:D17)</f>
        <v>9.45</v>
      </c>
    </row>
    <row r="20" customFormat="false" ht="15" hidden="false" customHeight="false" outlineLevel="0" collapsed="false">
      <c r="A20" s="23" t="s">
        <v>391</v>
      </c>
      <c r="B20" s="8" t="n">
        <f aca="false">B19*(1+$B$7)</f>
        <v>42.075</v>
      </c>
      <c r="C20" s="8" t="n">
        <f aca="false">C19*(1+$B$7)</f>
        <v>25.08</v>
      </c>
      <c r="D20" s="8" t="n">
        <f aca="false">D19*(1+$B$7)</f>
        <v>10.395</v>
      </c>
    </row>
    <row r="21" customFormat="false" ht="15" hidden="false" customHeight="false" outlineLevel="0" collapsed="false">
      <c r="A21" s="23" t="s">
        <v>392</v>
      </c>
      <c r="B21" s="22" t="n">
        <f aca="false">B20*$B$5</f>
        <v>14726.25</v>
      </c>
      <c r="C21" s="22" t="n">
        <f aca="false">C20*$B$5</f>
        <v>8778</v>
      </c>
      <c r="D21" s="22" t="n">
        <f aca="false">D20*$B$5</f>
        <v>3638.25</v>
      </c>
    </row>
    <row r="22" customFormat="false" ht="15" hidden="false" customHeight="false" outlineLevel="0" collapsed="false">
      <c r="A22" s="12" t="s">
        <v>393</v>
      </c>
      <c r="B22" s="5" t="n">
        <f aca="false">B12-B21-B18</f>
        <v>24673.75</v>
      </c>
      <c r="C22" s="5" t="n">
        <f aca="false">C12-C21-C18</f>
        <v>15722</v>
      </c>
      <c r="D22" s="5" t="n">
        <f aca="false">D12-D21-D18</f>
        <v>11011.75</v>
      </c>
    </row>
    <row r="23" customFormat="false" ht="15" hidden="false" customHeight="false" outlineLevel="0" collapsed="false">
      <c r="A23" s="12" t="s">
        <v>394</v>
      </c>
      <c r="B23" s="29" t="n">
        <f aca="false">IFERROR(B22/B12,0)</f>
        <v>0.61684375</v>
      </c>
      <c r="C23" s="29" t="n">
        <f aca="false">IFERROR(C22/C12,0)</f>
        <v>0.62888</v>
      </c>
      <c r="D23" s="29" t="n">
        <f aca="false">IFERROR(D22/D12,0)</f>
        <v>0.734116666666667</v>
      </c>
    </row>
    <row r="24" customFormat="false" ht="15" hidden="false" customHeight="false" outlineLevel="0" collapsed="false">
      <c r="A24" s="23" t="s">
        <v>395</v>
      </c>
      <c r="B24" s="22" t="n">
        <f aca="false">IFERROR(B12/B20,0)</f>
        <v>950.68330362448</v>
      </c>
      <c r="C24" s="22" t="n">
        <f aca="false">IFERROR(C12/C20,0)</f>
        <v>996.810207336523</v>
      </c>
      <c r="D24" s="22" t="n">
        <f aca="false">IFERROR(D12/D20,0)</f>
        <v>1443.00144300144</v>
      </c>
    </row>
    <row r="25" customFormat="false" ht="15" hidden="false" customHeight="false" outlineLevel="0" collapsed="false">
      <c r="A25" s="23" t="s">
        <v>396</v>
      </c>
      <c r="B25" s="30" t="n">
        <f aca="false">IFERROR((B12-B18)/$B$5,0)</f>
        <v>112.571428571429</v>
      </c>
      <c r="C25" s="30" t="n">
        <f aca="false">IFERROR((C12-C18)/$B$5,0)</f>
        <v>70</v>
      </c>
      <c r="D25" s="30" t="n">
        <f aca="false">IFERROR((D12-D18)/$B$5,0)</f>
        <v>41.8571428571429</v>
      </c>
    </row>
    <row r="27" customFormat="false" ht="15" hidden="false" customHeight="false" outlineLevel="0" collapsed="false">
      <c r="A27" s="19" t="s">
        <v>397</v>
      </c>
      <c r="B27" s="19"/>
      <c r="C27" s="19"/>
      <c r="D27" s="19"/>
      <c r="E27" s="19"/>
    </row>
    <row r="28" customFormat="false" ht="15" hidden="false" customHeight="false" outlineLevel="0" collapsed="false">
      <c r="A28" s="23" t="s">
        <v>398</v>
      </c>
      <c r="B28" s="25" t="n">
        <v>2</v>
      </c>
      <c r="C28" s="25" t="n">
        <v>4</v>
      </c>
      <c r="D28" s="25" t="n">
        <v>4</v>
      </c>
    </row>
    <row r="29" customFormat="false" ht="15" hidden="false" customHeight="false" outlineLevel="0" collapsed="false">
      <c r="A29" s="12" t="s">
        <v>399</v>
      </c>
      <c r="B29" s="20" t="n">
        <f aca="false">SUMPRODUCT($B$22:$D$22,$B$28:$D$28)</f>
        <v>156282.5</v>
      </c>
    </row>
    <row r="30" customFormat="false" ht="15" hidden="false" customHeight="false" outlineLevel="0" collapsed="false">
      <c r="A30" s="23" t="s">
        <v>400</v>
      </c>
      <c r="B30" s="30" t="n">
        <f aca="false">SUMPRODUCT($B$20:$D$20,$B$28:$D$28)</f>
        <v>226.05</v>
      </c>
    </row>
    <row r="31" customFormat="false" ht="15" hidden="false" customHeight="false" outlineLevel="0" collapsed="false">
      <c r="A31" s="23" t="s">
        <v>401</v>
      </c>
      <c r="B31" s="8" t="n">
        <f aca="false">IFERROR(B30/$B$6,0)</f>
        <v>1.88375</v>
      </c>
    </row>
    <row r="32" customFormat="false" ht="15" hidden="false" customHeight="false" outlineLevel="0" collapsed="false">
      <c r="A32" s="12" t="s">
        <v>402</v>
      </c>
      <c r="B32" s="31" t="n">
        <f aca="false">B29-$B$8</f>
        <v>36282.5</v>
      </c>
    </row>
    <row r="34" customFormat="false" ht="15" hidden="false" customHeight="false" outlineLevel="0" collapsed="false">
      <c r="A34" s="2" t="s">
        <v>403</v>
      </c>
      <c r="B34" s="2"/>
      <c r="C34" s="2"/>
      <c r="D34" s="2"/>
      <c r="E34" s="2"/>
    </row>
  </sheetData>
  <mergeCells count="4">
    <mergeCell ref="A1:E1"/>
    <mergeCell ref="A2:E2"/>
    <mergeCell ref="A27:E27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2026-10-19T13:49:10Z</dcterms:created>
  <dc:creator>openpyxl</dc:creator>
  <dc:description/>
  <dc:language>en-US</dc:language>
  <cp:lastModifiedBy/>
  <dcterms:modified xsi:type="dcterms:W3CDTF">2026-10-19T13:49:10Z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